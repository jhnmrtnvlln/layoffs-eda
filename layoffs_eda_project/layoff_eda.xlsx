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layoff_eda_project\"/>
    </mc:Choice>
  </mc:AlternateContent>
  <xr:revisionPtr revIDLastSave="0" documentId="13_ncr:1_{BFED804D-EB20-4BEF-B822-199E6A09D729}" xr6:coauthVersionLast="47" xr6:coauthVersionMax="47" xr10:uidLastSave="{00000000-0000-0000-0000-000000000000}"/>
  <bookViews>
    <workbookView xWindow="-108" yWindow="-108" windowWidth="23256" windowHeight="12720" activeTab="1" xr2:uid="{F0FC4095-ED96-438F-82F9-2DB271781265}"/>
  </bookViews>
  <sheets>
    <sheet name="Findings" sheetId="6" r:id="rId1"/>
    <sheet name="Cleaning Log" sheetId="7" r:id="rId2"/>
    <sheet name="Yearly" sheetId="1" r:id="rId3"/>
    <sheet name="Monthly" sheetId="2" r:id="rId4"/>
    <sheet name="Stage" sheetId="3" r:id="rId5"/>
    <sheet name="Industry" sheetId="4" r:id="rId6"/>
    <sheet name="Shutdow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</calcChain>
</file>

<file path=xl/sharedStrings.xml><?xml version="1.0" encoding="utf-8"?>
<sst xmlns="http://schemas.openxmlformats.org/spreadsheetml/2006/main" count="153" uniqueCount="119">
  <si>
    <t>yr</t>
  </si>
  <si>
    <t>layoff_events</t>
  </si>
  <si>
    <t>people_laid_off</t>
  </si>
  <si>
    <t>mth</t>
  </si>
  <si>
    <t>NULL</t>
  </si>
  <si>
    <t>month</t>
  </si>
  <si>
    <t>stage</t>
  </si>
  <si>
    <t>avg_pct_cut</t>
  </si>
  <si>
    <t>shutdowns</t>
  </si>
  <si>
    <t>Seed</t>
  </si>
  <si>
    <t>Series A</t>
  </si>
  <si>
    <t>Series B</t>
  </si>
  <si>
    <t>Series C</t>
  </si>
  <si>
    <t>Series D</t>
  </si>
  <si>
    <t>Series E</t>
  </si>
  <si>
    <t>Series F</t>
  </si>
  <si>
    <t>Series G</t>
  </si>
  <si>
    <t>Series H</t>
  </si>
  <si>
    <t>Series I</t>
  </si>
  <si>
    <t>Series J</t>
  </si>
  <si>
    <t>Post-IPO</t>
  </si>
  <si>
    <t>Acquired</t>
  </si>
  <si>
    <t>Private Equity</t>
  </si>
  <si>
    <t>Subsidiary</t>
  </si>
  <si>
    <t>Unknown</t>
  </si>
  <si>
    <t>Consumer</t>
  </si>
  <si>
    <t>Retail</t>
  </si>
  <si>
    <t>Other</t>
  </si>
  <si>
    <t>Transportation</t>
  </si>
  <si>
    <t>Finance</t>
  </si>
  <si>
    <t>Healthcare</t>
  </si>
  <si>
    <t>Food</t>
  </si>
  <si>
    <t>Real Estate</t>
  </si>
  <si>
    <t>Travel</t>
  </si>
  <si>
    <t>Hardware</t>
  </si>
  <si>
    <t>Education</t>
  </si>
  <si>
    <t>Sales</t>
  </si>
  <si>
    <t>Crypto</t>
  </si>
  <si>
    <t>Marketing</t>
  </si>
  <si>
    <t>Fitness</t>
  </si>
  <si>
    <t>Security</t>
  </si>
  <si>
    <t>Infrastructure</t>
  </si>
  <si>
    <t>Media</t>
  </si>
  <si>
    <t>Data</t>
  </si>
  <si>
    <t>Logistics</t>
  </si>
  <si>
    <t>Construction</t>
  </si>
  <si>
    <t>Support</t>
  </si>
  <si>
    <t>HR</t>
  </si>
  <si>
    <t>Recruiting</t>
  </si>
  <si>
    <t>Product</t>
  </si>
  <si>
    <t>Legal</t>
  </si>
  <si>
    <t>Energy</t>
  </si>
  <si>
    <t>Aerospace</t>
  </si>
  <si>
    <t>Manufacturing</t>
  </si>
  <si>
    <t>industry</t>
  </si>
  <si>
    <t>company</t>
  </si>
  <si>
    <t>date</t>
  </si>
  <si>
    <t>total_laid_off</t>
  </si>
  <si>
    <t>funds_raised_millions</t>
  </si>
  <si>
    <t>Britishvolt</t>
  </si>
  <si>
    <t>Quibi</t>
  </si>
  <si>
    <t>Deliveroo Australia</t>
  </si>
  <si>
    <t>Katerra</t>
  </si>
  <si>
    <t>BlockFi</t>
  </si>
  <si>
    <t>Aura Financial</t>
  </si>
  <si>
    <t>Openpay</t>
  </si>
  <si>
    <t>Pollen</t>
  </si>
  <si>
    <t>Simple Feast</t>
  </si>
  <si>
    <t>Arch Oncology</t>
  </si>
  <si>
    <t>Not reported</t>
  </si>
  <si>
    <t>A 100% cut usually means the company shut down, but can mean a single unit or office closed. Funding is as recorded in the source data. Stage shows ‘Unknown’ where it wasn’t recorded.</t>
  </si>
  <si>
    <t>Tech Layoffs 2020-2023: What the Data Shows</t>
  </si>
  <si>
    <t>2022 was the peak year, with 160,521 people laid off across 1,207 events. 2023 had already reached 125,677 by 6 March. 2021 was quiet, with only 44 events.</t>
  </si>
  <si>
    <t>The two biggest months were January 2023 (84,714 people) and November 2022 (53,311).</t>
  </si>
  <si>
    <t>Earlier-stage companies cut a bigger share of staff: Seed averaged 70.2%, against 15.8% for Post-IPO. But Post-IPO companies account for 204,132 people, about 53% of all headcount.</t>
  </si>
  <si>
    <t>By headcount, Consumer (44,782), Retail (43,613) and Other (36,289) led the industries. Finance had the most events (287) but ranked fifth by people.</t>
  </si>
  <si>
    <t>Funding did not protect everyone: Britishvolt, Quibi and Katerra each cut 100% of staff after raising between $1.6B and $2.4B.</t>
  </si>
  <si>
    <t>Source: layoffs.csv, 2,352 events after cleaning, 11 March 2020 to 6 March 2023. Analysis in SQL Server, charts in Excel.</t>
  </si>
  <si>
    <t>Step</t>
  </si>
  <si>
    <t>Issue found</t>
  </si>
  <si>
    <t>Rows affected</t>
  </si>
  <si>
    <t>Fix</t>
  </si>
  <si>
    <t>Reason</t>
  </si>
  <si>
    <t>Exact duplicate rows (identical in every column)</t>
  </si>
  <si>
    <t>Removed the extra copies (ROW_NUMBER)</t>
  </si>
  <si>
    <t>Same record entered twice would inflate counts. Rows: 2361 to 2356</t>
  </si>
  <si>
    <t>Same company and date entered twice (8 pairs reviewed)</t>
  </si>
  <si>
    <t>4 removed; 5 pairs kept</t>
  </si>
  <si>
    <t>Removed 4 rows from Bybit, Terminus and Oda. Kept Sendy, IronNet, StockX, Bustle Digital Group and Clearco</t>
  </si>
  <si>
    <t>Removed only when a row was empty or the same headcount had conflicting details. Kept when numbers or cities differed. Rows: 2356 to 2352</t>
  </si>
  <si>
    <t>Blanks imported as the text 'NULL'</t>
  </si>
  <si>
    <t>737 headcount, 782 percentage, 208 funding, 6 stage, 4 industry</t>
  </si>
  <si>
    <t>Converted the text to real empty values (NULL)</t>
  </si>
  <si>
    <t>The text 'NULL' breaks sums and counts. Allowed NULLs in stage and date first</t>
  </si>
  <si>
    <t>Number columns stored as text</t>
  </si>
  <si>
    <t>3 columns</t>
  </si>
  <si>
    <t>Changed total_laid_off to INT, percentage_laid_off and funds_raised_millions to FLOAT</t>
  </si>
  <si>
    <t>So values can be summed and averaged</t>
  </si>
  <si>
    <t>Crypto spelled 3 ways (Crypto Currency / CryptoCurrency)</t>
  </si>
  <si>
    <t>Changed to Crypto</t>
  </si>
  <si>
    <t>Same industry under different names would split the totals</t>
  </si>
  <si>
    <t>Fin-Tech and Finance</t>
  </si>
  <si>
    <t>Changed Fin-Tech to Finance</t>
  </si>
  <si>
    <t>Judgment call: treated as the same sector</t>
  </si>
  <si>
    <t>Country typo: 'United States.' with a trailing period</t>
  </si>
  <si>
    <t>Removed the period</t>
  </si>
  <si>
    <t>Would have split the US into two groups</t>
  </si>
  <si>
    <t>Date stored as text (month/day/year)</t>
  </si>
  <si>
    <t>All rows (1 has no date)</t>
  </si>
  <si>
    <t>Converted to a real DATE. Range 2020-03-11 to 2023-03-06</t>
  </si>
  <si>
    <t>Needed to group by month and year</t>
  </si>
  <si>
    <t>Missing headcount and/or percentage</t>
  </si>
  <si>
    <t>359 missing both, 378 only percentage, 423 only headcount</t>
  </si>
  <si>
    <t>Left empty. No values estimated</t>
  </si>
  <si>
    <t>Estimating adds guesswork. Events still counted; headcount totals are a floor</t>
  </si>
  <si>
    <t>Extra spaces in company names</t>
  </si>
  <si>
    <t>0 found</t>
  </si>
  <si>
    <t>None needed</t>
  </si>
  <si>
    <t>Checked and names were already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</si>
</sst>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9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People Laid Off per Month, Mar 2020 - Mar 2023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Monthly!$D$1</c:f>
              <c:strCache>
                <c:ptCount val="1"/>
                <c:pt idx="0">
                  <c:v>people_laid_off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Monthly!$E$2:$E$38</c:f>
              <c:numCache>
                <c:formatCode>m/d/yyyy</c:formatCode>
                <c:ptCount val="37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</c:numCache>
            </c:numRef>
          </c:cat>
          <c:val>
            <c:numRef>
              <c:f>Monthly!$D$2:$D$38</c:f>
              <c:numCache>
                <c:formatCode>General</c:formatCode>
                <c:ptCount val="37"/>
                <c:pt idx="0">
                  <c:v>9628</c:v>
                </c:pt>
                <c:pt idx="1">
                  <c:v>26710</c:v>
                </c:pt>
                <c:pt idx="2">
                  <c:v>25804</c:v>
                </c:pt>
                <c:pt idx="3">
                  <c:v>7627</c:v>
                </c:pt>
                <c:pt idx="4">
                  <c:v>7112</c:v>
                </c:pt>
                <c:pt idx="5">
                  <c:v>1969</c:v>
                </c:pt>
                <c:pt idx="6">
                  <c:v>609</c:v>
                </c:pt>
                <c:pt idx="7">
                  <c:v>450</c:v>
                </c:pt>
                <c:pt idx="8">
                  <c:v>237</c:v>
                </c:pt>
                <c:pt idx="9">
                  <c:v>852</c:v>
                </c:pt>
                <c:pt idx="10">
                  <c:v>6813</c:v>
                </c:pt>
                <c:pt idx="11">
                  <c:v>868</c:v>
                </c:pt>
                <c:pt idx="12">
                  <c:v>47</c:v>
                </c:pt>
                <c:pt idx="13">
                  <c:v>261</c:v>
                </c:pt>
                <c:pt idx="15">
                  <c:v>2434</c:v>
                </c:pt>
                <c:pt idx="16">
                  <c:v>80</c:v>
                </c:pt>
                <c:pt idx="17">
                  <c:v>1867</c:v>
                </c:pt>
                <c:pt idx="18">
                  <c:v>161</c:v>
                </c:pt>
                <c:pt idx="19">
                  <c:v>22</c:v>
                </c:pt>
                <c:pt idx="20">
                  <c:v>2070</c:v>
                </c:pt>
                <c:pt idx="21">
                  <c:v>1200</c:v>
                </c:pt>
                <c:pt idx="22">
                  <c:v>510</c:v>
                </c:pt>
                <c:pt idx="23">
                  <c:v>3685</c:v>
                </c:pt>
                <c:pt idx="24">
                  <c:v>5714</c:v>
                </c:pt>
                <c:pt idx="25">
                  <c:v>4128</c:v>
                </c:pt>
                <c:pt idx="26">
                  <c:v>12885</c:v>
                </c:pt>
                <c:pt idx="27">
                  <c:v>17394</c:v>
                </c:pt>
                <c:pt idx="28">
                  <c:v>16223</c:v>
                </c:pt>
                <c:pt idx="29">
                  <c:v>13055</c:v>
                </c:pt>
                <c:pt idx="30">
                  <c:v>5881</c:v>
                </c:pt>
                <c:pt idx="31">
                  <c:v>17406</c:v>
                </c:pt>
                <c:pt idx="32">
                  <c:v>53311</c:v>
                </c:pt>
                <c:pt idx="33">
                  <c:v>10329</c:v>
                </c:pt>
                <c:pt idx="34">
                  <c:v>84714</c:v>
                </c:pt>
                <c:pt idx="35">
                  <c:v>36493</c:v>
                </c:pt>
                <c:pt idx="36">
                  <c:v>4470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A-4355-906B-2A9ED2AE0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913919"/>
        <c:axId val="3369122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Monthly!$A$1</c15:sqref>
                        </c15:formulaRef>
                      </c:ext>
                    </c:extLst>
                    <c:strCache>
                      <c:ptCount val="1"/>
                      <c:pt idx="0">
                        <c:v>yr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5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Monthly!$A$2:$A$38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2020</c:v>
                      </c:pt>
                      <c:pt idx="1">
                        <c:v>2020</c:v>
                      </c:pt>
                      <c:pt idx="2">
                        <c:v>2020</c:v>
                      </c:pt>
                      <c:pt idx="3">
                        <c:v>2020</c:v>
                      </c:pt>
                      <c:pt idx="4">
                        <c:v>2020</c:v>
                      </c:pt>
                      <c:pt idx="5">
                        <c:v>2020</c:v>
                      </c:pt>
                      <c:pt idx="6">
                        <c:v>2020</c:v>
                      </c:pt>
                      <c:pt idx="7">
                        <c:v>2020</c:v>
                      </c:pt>
                      <c:pt idx="8">
                        <c:v>2020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2021</c:v>
                      </c:pt>
                      <c:pt idx="12">
                        <c:v>2021</c:v>
                      </c:pt>
                      <c:pt idx="13">
                        <c:v>2021</c:v>
                      </c:pt>
                      <c:pt idx="14">
                        <c:v>2021</c:v>
                      </c:pt>
                      <c:pt idx="15">
                        <c:v>2021</c:v>
                      </c:pt>
                      <c:pt idx="16">
                        <c:v>2021</c:v>
                      </c:pt>
                      <c:pt idx="17">
                        <c:v>2021</c:v>
                      </c:pt>
                      <c:pt idx="18">
                        <c:v>2021</c:v>
                      </c:pt>
                      <c:pt idx="19">
                        <c:v>2021</c:v>
                      </c:pt>
                      <c:pt idx="20">
                        <c:v>2021</c:v>
                      </c:pt>
                      <c:pt idx="21">
                        <c:v>2021</c:v>
                      </c:pt>
                      <c:pt idx="22">
                        <c:v>2022</c:v>
                      </c:pt>
                      <c:pt idx="23">
                        <c:v>2022</c:v>
                      </c:pt>
                      <c:pt idx="24">
                        <c:v>2022</c:v>
                      </c:pt>
                      <c:pt idx="25">
                        <c:v>2022</c:v>
                      </c:pt>
                      <c:pt idx="26">
                        <c:v>2022</c:v>
                      </c:pt>
                      <c:pt idx="27">
                        <c:v>2022</c:v>
                      </c:pt>
                      <c:pt idx="28">
                        <c:v>2022</c:v>
                      </c:pt>
                      <c:pt idx="29">
                        <c:v>2022</c:v>
                      </c:pt>
                      <c:pt idx="30">
                        <c:v>2022</c:v>
                      </c:pt>
                      <c:pt idx="31">
                        <c:v>2022</c:v>
                      </c:pt>
                      <c:pt idx="32">
                        <c:v>2022</c:v>
                      </c:pt>
                      <c:pt idx="33">
                        <c:v>2022</c:v>
                      </c:pt>
                      <c:pt idx="34">
                        <c:v>2023</c:v>
                      </c:pt>
                      <c:pt idx="35">
                        <c:v>2023</c:v>
                      </c:pt>
                      <c:pt idx="36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55A-4355-906B-2A9ED2AE019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Monthly!$B$1</c15:sqref>
                        </c15:formulaRef>
                      </c:ext>
                    </c:extLst>
                    <c:strCache>
                      <c:ptCount val="1"/>
                      <c:pt idx="0">
                        <c:v>mth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Monthly!$B$2:$B$38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6</c:v>
                      </c:pt>
                      <c:pt idx="4">
                        <c:v>7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11</c:v>
                      </c:pt>
                      <c:pt idx="9">
                        <c:v>12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7</c:v>
                      </c:pt>
                      <c:pt idx="17">
                        <c:v>8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11</c:v>
                      </c:pt>
                      <c:pt idx="21">
                        <c:v>12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6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9</c:v>
                      </c:pt>
                      <c:pt idx="31">
                        <c:v>10</c:v>
                      </c:pt>
                      <c:pt idx="32">
                        <c:v>11</c:v>
                      </c:pt>
                      <c:pt idx="33">
                        <c:v>12</c:v>
                      </c:pt>
                      <c:pt idx="34">
                        <c:v>1</c:v>
                      </c:pt>
                      <c:pt idx="35">
                        <c:v>2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55A-4355-906B-2A9ED2AE019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Monthly!$C$1</c15:sqref>
                        </c15:formulaRef>
                      </c:ext>
                    </c:extLst>
                    <c:strCache>
                      <c:ptCount val="1"/>
                      <c:pt idx="0">
                        <c:v>layoff_events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Monthly!$C$2:$C$38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121</c:v>
                      </c:pt>
                      <c:pt idx="1">
                        <c:v>270</c:v>
                      </c:pt>
                      <c:pt idx="2">
                        <c:v>109</c:v>
                      </c:pt>
                      <c:pt idx="3">
                        <c:v>49</c:v>
                      </c:pt>
                      <c:pt idx="4">
                        <c:v>27</c:v>
                      </c:pt>
                      <c:pt idx="5">
                        <c:v>19</c:v>
                      </c:pt>
                      <c:pt idx="6">
                        <c:v>15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4</c:v>
                      </c:pt>
                      <c:pt idx="10">
                        <c:v>10</c:v>
                      </c:pt>
                      <c:pt idx="11">
                        <c:v>8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5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12</c:v>
                      </c:pt>
                      <c:pt idx="24">
                        <c:v>18</c:v>
                      </c:pt>
                      <c:pt idx="25">
                        <c:v>29</c:v>
                      </c:pt>
                      <c:pt idx="26">
                        <c:v>77</c:v>
                      </c:pt>
                      <c:pt idx="27">
                        <c:v>194</c:v>
                      </c:pt>
                      <c:pt idx="28">
                        <c:v>160</c:v>
                      </c:pt>
                      <c:pt idx="29">
                        <c:v>158</c:v>
                      </c:pt>
                      <c:pt idx="30">
                        <c:v>94</c:v>
                      </c:pt>
                      <c:pt idx="31">
                        <c:v>105</c:v>
                      </c:pt>
                      <c:pt idx="32">
                        <c:v>224</c:v>
                      </c:pt>
                      <c:pt idx="33">
                        <c:v>132</c:v>
                      </c:pt>
                      <c:pt idx="34">
                        <c:v>269</c:v>
                      </c:pt>
                      <c:pt idx="35">
                        <c:v>170</c:v>
                      </c:pt>
                      <c:pt idx="36">
                        <c:v>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55A-4355-906B-2A9ED2AE019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Monthly!$E$1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5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55A-4355-906B-2A9ED2AE0192}"/>
                  </c:ext>
                </c:extLst>
              </c15:ser>
            </c15:filteredLineSeries>
          </c:ext>
        </c:extLst>
      </c:lineChart>
      <c:dateAx>
        <c:axId val="33691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March 2023 covers only 1-6 March. May 2021 has no headcount reported and shows as a gap.</a:t>
                </a:r>
                <a:endParaRPr lang="en-US" sz="1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12255"/>
        <c:crosses val="autoZero"/>
        <c:auto val="1"/>
        <c:lblOffset val="100"/>
        <c:baseTimeUnit val="months"/>
      </c:dateAx>
      <c:valAx>
        <c:axId val="3369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People Laid 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Average % of Staff Laid Off, by Funding Stage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Stage!$D$1</c:f>
              <c:strCache>
                <c:ptCount val="1"/>
                <c:pt idx="0">
                  <c:v>avg_pct_cut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Stage!$A$2:$A$13</c:f>
              <c:strCache>
                <c:ptCount val="12"/>
                <c:pt idx="0">
                  <c:v>Seed</c:v>
                </c:pt>
                <c:pt idx="1">
                  <c:v>Series A</c:v>
                </c:pt>
                <c:pt idx="2">
                  <c:v>Series B</c:v>
                </c:pt>
                <c:pt idx="3">
                  <c:v>Series C</c:v>
                </c:pt>
                <c:pt idx="4">
                  <c:v>Series D</c:v>
                </c:pt>
                <c:pt idx="5">
                  <c:v>Series E</c:v>
                </c:pt>
                <c:pt idx="6">
                  <c:v>Series F</c:v>
                </c:pt>
                <c:pt idx="7">
                  <c:v>Series G</c:v>
                </c:pt>
                <c:pt idx="8">
                  <c:v>Series H</c:v>
                </c:pt>
                <c:pt idx="9">
                  <c:v>Series I</c:v>
                </c:pt>
                <c:pt idx="10">
                  <c:v>Series J</c:v>
                </c:pt>
                <c:pt idx="11">
                  <c:v>Post-IPO</c:v>
                </c:pt>
              </c:strCache>
            </c:strRef>
          </c:cat>
          <c:val>
            <c:numRef>
              <c:f>Stage!$D$2:$D$13</c:f>
              <c:numCache>
                <c:formatCode>General</c:formatCode>
                <c:ptCount val="12"/>
                <c:pt idx="0">
                  <c:v>70.2</c:v>
                </c:pt>
                <c:pt idx="1">
                  <c:v>38.4</c:v>
                </c:pt>
                <c:pt idx="2">
                  <c:v>32.200000000000003</c:v>
                </c:pt>
                <c:pt idx="3">
                  <c:v>23.9</c:v>
                </c:pt>
                <c:pt idx="4">
                  <c:v>18.399999999999999</c:v>
                </c:pt>
                <c:pt idx="5">
                  <c:v>18.3</c:v>
                </c:pt>
                <c:pt idx="6">
                  <c:v>13.9</c:v>
                </c:pt>
                <c:pt idx="7">
                  <c:v>16.100000000000001</c:v>
                </c:pt>
                <c:pt idx="8">
                  <c:v>13.6</c:v>
                </c:pt>
                <c:pt idx="9">
                  <c:v>9.6999999999999993</c:v>
                </c:pt>
                <c:pt idx="10">
                  <c:v>14.2</c:v>
                </c:pt>
                <c:pt idx="11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E-4F73-A5EB-70D1D7A192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093535"/>
        <c:axId val="500097695"/>
      </c:barChart>
      <c:catAx>
        <c:axId val="50009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Average of each event’s percentage, not weighted by company size. Series G, I and J have 15 or fewer events each.</a:t>
                </a:r>
                <a:endParaRPr lang="en-US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97695"/>
        <c:crosses val="autoZero"/>
        <c:auto val="1"/>
        <c:lblAlgn val="ctr"/>
        <c:lblOffset val="100"/>
        <c:noMultiLvlLbl val="0"/>
      </c:catAx>
      <c:valAx>
        <c:axId val="50009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Average % of staff laid off</a:t>
                </a:r>
                <a:endParaRPr lang="en-US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People Laid Off, by Funding Stage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Stage!$C$1</c:f>
              <c:strCache>
                <c:ptCount val="1"/>
                <c:pt idx="0">
                  <c:v>people_laid_off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Stage!$A$2:$A$13</c:f>
              <c:strCache>
                <c:ptCount val="12"/>
                <c:pt idx="0">
                  <c:v>Seed</c:v>
                </c:pt>
                <c:pt idx="1">
                  <c:v>Series A</c:v>
                </c:pt>
                <c:pt idx="2">
                  <c:v>Series B</c:v>
                </c:pt>
                <c:pt idx="3">
                  <c:v>Series C</c:v>
                </c:pt>
                <c:pt idx="4">
                  <c:v>Series D</c:v>
                </c:pt>
                <c:pt idx="5">
                  <c:v>Series E</c:v>
                </c:pt>
                <c:pt idx="6">
                  <c:v>Series F</c:v>
                </c:pt>
                <c:pt idx="7">
                  <c:v>Series G</c:v>
                </c:pt>
                <c:pt idx="8">
                  <c:v>Series H</c:v>
                </c:pt>
                <c:pt idx="9">
                  <c:v>Series I</c:v>
                </c:pt>
                <c:pt idx="10">
                  <c:v>Series J</c:v>
                </c:pt>
                <c:pt idx="11">
                  <c:v>Post-IPO</c:v>
                </c:pt>
              </c:strCache>
            </c:strRef>
          </c:cat>
          <c:val>
            <c:numRef>
              <c:f>Stage!$C$2:$C$13</c:f>
              <c:numCache>
                <c:formatCode>General</c:formatCode>
                <c:ptCount val="12"/>
                <c:pt idx="0">
                  <c:v>1636</c:v>
                </c:pt>
                <c:pt idx="1">
                  <c:v>5678</c:v>
                </c:pt>
                <c:pt idx="2">
                  <c:v>15311</c:v>
                </c:pt>
                <c:pt idx="3">
                  <c:v>20017</c:v>
                </c:pt>
                <c:pt idx="4">
                  <c:v>19225</c:v>
                </c:pt>
                <c:pt idx="5">
                  <c:v>12697</c:v>
                </c:pt>
                <c:pt idx="6">
                  <c:v>9932</c:v>
                </c:pt>
                <c:pt idx="7">
                  <c:v>3697</c:v>
                </c:pt>
                <c:pt idx="8">
                  <c:v>7244</c:v>
                </c:pt>
                <c:pt idx="9">
                  <c:v>2855</c:v>
                </c:pt>
                <c:pt idx="10">
                  <c:v>3570</c:v>
                </c:pt>
                <c:pt idx="11">
                  <c:v>204132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F-4261-8314-3DC2044AD5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507679"/>
        <c:axId val="554505183"/>
      </c:barChart>
      <c:catAx>
        <c:axId val="55450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Headcount excludes events with no headcount reported.</a:t>
                </a:r>
                <a:endParaRPr lang="en-US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505183"/>
        <c:crosses val="autoZero"/>
        <c:auto val="1"/>
        <c:lblAlgn val="ctr"/>
        <c:lblOffset val="100"/>
        <c:noMultiLvlLbl val="0"/>
      </c:catAx>
      <c:valAx>
        <c:axId val="5545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People laid off</a:t>
                </a:r>
                <a:endParaRPr 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50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People Laid Off per Year, 2020-2023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Yearly!$C$1</c:f>
              <c:strCache>
                <c:ptCount val="1"/>
                <c:pt idx="0">
                  <c:v>people_laid_off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Yearly!$A$2:$A$5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Yearly!$C$2:$C$5</c:f>
              <c:numCache>
                <c:formatCode>General</c:formatCode>
                <c:ptCount val="4"/>
                <c:pt idx="0">
                  <c:v>80998</c:v>
                </c:pt>
                <c:pt idx="1">
                  <c:v>15823</c:v>
                </c:pt>
                <c:pt idx="2">
                  <c:v>160521</c:v>
                </c:pt>
                <c:pt idx="3">
                  <c:v>125677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B-4385-8F99-50AE34A86A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0878431"/>
        <c:axId val="18308763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Yearly!$B$1</c15:sqref>
                        </c15:formulaRef>
                      </c:ext>
                    </c:extLst>
                    <c:strCache>
                      <c:ptCount val="1"/>
                      <c:pt idx="0">
                        <c:v>layoff_events</c:v>
                      </c:pt>
                    </c:strCache>
                  </c:strRef>
                </c:tx>
                <c:spPr>
                  <a:solidFill>
                    <a:schemeClr val="accent6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Yearly!$A$2:$A$5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Yearly!$B$2:$B$5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634</c:v>
                      </c:pt>
                      <c:pt idx="1">
                        <c:v>44</c:v>
                      </c:pt>
                      <c:pt idx="2">
                        <c:v>1207</c:v>
                      </c:pt>
                      <c:pt idx="3">
                        <c:v>466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02B-4385-8F99-50AE34A86AEC}"/>
                  </c:ext>
                </c:extLst>
              </c15:ser>
            </c15:filteredBarSeries>
          </c:ext>
        </c:extLst>
      </c:barChart>
      <c:catAx>
        <c:axId val="183087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2023 includes data only up to 6 March. Headcount excludes events with no headcount reported.</a:t>
                </a:r>
              </a:p>
            </c:rich>
          </c:tx>
          <c:layout>
            <c:manualLayout>
              <c:xMode val="edge"/>
              <c:yMode val="edge"/>
              <c:x val="0.1564059203492697"/>
              <c:y val="0.924169628660177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76351"/>
        <c:crosses val="autoZero"/>
        <c:auto val="1"/>
        <c:lblAlgn val="ctr"/>
        <c:lblOffset val="100"/>
        <c:noMultiLvlLbl val="0"/>
      </c:catAx>
      <c:valAx>
        <c:axId val="18308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People Laid 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7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People Laid Off per Month, Mar 2020 - Mar 2023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Monthly!$D$1</c:f>
              <c:strCache>
                <c:ptCount val="1"/>
                <c:pt idx="0">
                  <c:v>people_laid_off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Monthly!$E$2:$E$38</c:f>
              <c:numCache>
                <c:formatCode>m/d/yyyy</c:formatCode>
                <c:ptCount val="37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</c:numCache>
            </c:numRef>
          </c:cat>
          <c:val>
            <c:numRef>
              <c:f>Monthly!$D$2:$D$38</c:f>
              <c:numCache>
                <c:formatCode>General</c:formatCode>
                <c:ptCount val="37"/>
                <c:pt idx="0">
                  <c:v>9628</c:v>
                </c:pt>
                <c:pt idx="1">
                  <c:v>26710</c:v>
                </c:pt>
                <c:pt idx="2">
                  <c:v>25804</c:v>
                </c:pt>
                <c:pt idx="3">
                  <c:v>7627</c:v>
                </c:pt>
                <c:pt idx="4">
                  <c:v>7112</c:v>
                </c:pt>
                <c:pt idx="5">
                  <c:v>1969</c:v>
                </c:pt>
                <c:pt idx="6">
                  <c:v>609</c:v>
                </c:pt>
                <c:pt idx="7">
                  <c:v>450</c:v>
                </c:pt>
                <c:pt idx="8">
                  <c:v>237</c:v>
                </c:pt>
                <c:pt idx="9">
                  <c:v>852</c:v>
                </c:pt>
                <c:pt idx="10">
                  <c:v>6813</c:v>
                </c:pt>
                <c:pt idx="11">
                  <c:v>868</c:v>
                </c:pt>
                <c:pt idx="12">
                  <c:v>47</c:v>
                </c:pt>
                <c:pt idx="13">
                  <c:v>261</c:v>
                </c:pt>
                <c:pt idx="15">
                  <c:v>2434</c:v>
                </c:pt>
                <c:pt idx="16">
                  <c:v>80</c:v>
                </c:pt>
                <c:pt idx="17">
                  <c:v>1867</c:v>
                </c:pt>
                <c:pt idx="18">
                  <c:v>161</c:v>
                </c:pt>
                <c:pt idx="19">
                  <c:v>22</c:v>
                </c:pt>
                <c:pt idx="20">
                  <c:v>2070</c:v>
                </c:pt>
                <c:pt idx="21">
                  <c:v>1200</c:v>
                </c:pt>
                <c:pt idx="22">
                  <c:v>510</c:v>
                </c:pt>
                <c:pt idx="23">
                  <c:v>3685</c:v>
                </c:pt>
                <c:pt idx="24">
                  <c:v>5714</c:v>
                </c:pt>
                <c:pt idx="25">
                  <c:v>4128</c:v>
                </c:pt>
                <c:pt idx="26">
                  <c:v>12885</c:v>
                </c:pt>
                <c:pt idx="27">
                  <c:v>17394</c:v>
                </c:pt>
                <c:pt idx="28">
                  <c:v>16223</c:v>
                </c:pt>
                <c:pt idx="29">
                  <c:v>13055</c:v>
                </c:pt>
                <c:pt idx="30">
                  <c:v>5881</c:v>
                </c:pt>
                <c:pt idx="31">
                  <c:v>17406</c:v>
                </c:pt>
                <c:pt idx="32">
                  <c:v>53311</c:v>
                </c:pt>
                <c:pt idx="33">
                  <c:v>10329</c:v>
                </c:pt>
                <c:pt idx="34">
                  <c:v>84714</c:v>
                </c:pt>
                <c:pt idx="35">
                  <c:v>36493</c:v>
                </c:pt>
                <c:pt idx="36">
                  <c:v>4470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CF-4A28-9CD9-51A4CC9C7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913919"/>
        <c:axId val="3369122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Monthly!$A$1</c15:sqref>
                        </c15:formulaRef>
                      </c:ext>
                    </c:extLst>
                    <c:strCache>
                      <c:ptCount val="1"/>
                      <c:pt idx="0">
                        <c:v>yr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5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Monthly!$A$2:$A$38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2020</c:v>
                      </c:pt>
                      <c:pt idx="1">
                        <c:v>2020</c:v>
                      </c:pt>
                      <c:pt idx="2">
                        <c:v>2020</c:v>
                      </c:pt>
                      <c:pt idx="3">
                        <c:v>2020</c:v>
                      </c:pt>
                      <c:pt idx="4">
                        <c:v>2020</c:v>
                      </c:pt>
                      <c:pt idx="5">
                        <c:v>2020</c:v>
                      </c:pt>
                      <c:pt idx="6">
                        <c:v>2020</c:v>
                      </c:pt>
                      <c:pt idx="7">
                        <c:v>2020</c:v>
                      </c:pt>
                      <c:pt idx="8">
                        <c:v>2020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2021</c:v>
                      </c:pt>
                      <c:pt idx="12">
                        <c:v>2021</c:v>
                      </c:pt>
                      <c:pt idx="13">
                        <c:v>2021</c:v>
                      </c:pt>
                      <c:pt idx="14">
                        <c:v>2021</c:v>
                      </c:pt>
                      <c:pt idx="15">
                        <c:v>2021</c:v>
                      </c:pt>
                      <c:pt idx="16">
                        <c:v>2021</c:v>
                      </c:pt>
                      <c:pt idx="17">
                        <c:v>2021</c:v>
                      </c:pt>
                      <c:pt idx="18">
                        <c:v>2021</c:v>
                      </c:pt>
                      <c:pt idx="19">
                        <c:v>2021</c:v>
                      </c:pt>
                      <c:pt idx="20">
                        <c:v>2021</c:v>
                      </c:pt>
                      <c:pt idx="21">
                        <c:v>2021</c:v>
                      </c:pt>
                      <c:pt idx="22">
                        <c:v>2022</c:v>
                      </c:pt>
                      <c:pt idx="23">
                        <c:v>2022</c:v>
                      </c:pt>
                      <c:pt idx="24">
                        <c:v>2022</c:v>
                      </c:pt>
                      <c:pt idx="25">
                        <c:v>2022</c:v>
                      </c:pt>
                      <c:pt idx="26">
                        <c:v>2022</c:v>
                      </c:pt>
                      <c:pt idx="27">
                        <c:v>2022</c:v>
                      </c:pt>
                      <c:pt idx="28">
                        <c:v>2022</c:v>
                      </c:pt>
                      <c:pt idx="29">
                        <c:v>2022</c:v>
                      </c:pt>
                      <c:pt idx="30">
                        <c:v>2022</c:v>
                      </c:pt>
                      <c:pt idx="31">
                        <c:v>2022</c:v>
                      </c:pt>
                      <c:pt idx="32">
                        <c:v>2022</c:v>
                      </c:pt>
                      <c:pt idx="33">
                        <c:v>2022</c:v>
                      </c:pt>
                      <c:pt idx="34">
                        <c:v>2023</c:v>
                      </c:pt>
                      <c:pt idx="35">
                        <c:v>2023</c:v>
                      </c:pt>
                      <c:pt idx="36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DCF-4A28-9CD9-51A4CC9C734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Monthly!$B$1</c15:sqref>
                        </c15:formulaRef>
                      </c:ext>
                    </c:extLst>
                    <c:strCache>
                      <c:ptCount val="1"/>
                      <c:pt idx="0">
                        <c:v>mth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Monthly!$B$2:$B$38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6</c:v>
                      </c:pt>
                      <c:pt idx="4">
                        <c:v>7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11</c:v>
                      </c:pt>
                      <c:pt idx="9">
                        <c:v>12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7</c:v>
                      </c:pt>
                      <c:pt idx="17">
                        <c:v>8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11</c:v>
                      </c:pt>
                      <c:pt idx="21">
                        <c:v>12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6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9</c:v>
                      </c:pt>
                      <c:pt idx="31">
                        <c:v>10</c:v>
                      </c:pt>
                      <c:pt idx="32">
                        <c:v>11</c:v>
                      </c:pt>
                      <c:pt idx="33">
                        <c:v>12</c:v>
                      </c:pt>
                      <c:pt idx="34">
                        <c:v>1</c:v>
                      </c:pt>
                      <c:pt idx="35">
                        <c:v>2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DCF-4A28-9CD9-51A4CC9C734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Monthly!$C$1</c15:sqref>
                        </c15:formulaRef>
                      </c:ext>
                    </c:extLst>
                    <c:strCache>
                      <c:ptCount val="1"/>
                      <c:pt idx="0">
                        <c:v>layoff_events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Monthly!$C$2:$C$38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121</c:v>
                      </c:pt>
                      <c:pt idx="1">
                        <c:v>270</c:v>
                      </c:pt>
                      <c:pt idx="2">
                        <c:v>109</c:v>
                      </c:pt>
                      <c:pt idx="3">
                        <c:v>49</c:v>
                      </c:pt>
                      <c:pt idx="4">
                        <c:v>27</c:v>
                      </c:pt>
                      <c:pt idx="5">
                        <c:v>19</c:v>
                      </c:pt>
                      <c:pt idx="6">
                        <c:v>15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4</c:v>
                      </c:pt>
                      <c:pt idx="10">
                        <c:v>10</c:v>
                      </c:pt>
                      <c:pt idx="11">
                        <c:v>8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3</c:v>
                      </c:pt>
                      <c:pt idx="18">
                        <c:v>5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12</c:v>
                      </c:pt>
                      <c:pt idx="24">
                        <c:v>18</c:v>
                      </c:pt>
                      <c:pt idx="25">
                        <c:v>29</c:v>
                      </c:pt>
                      <c:pt idx="26">
                        <c:v>77</c:v>
                      </c:pt>
                      <c:pt idx="27">
                        <c:v>194</c:v>
                      </c:pt>
                      <c:pt idx="28">
                        <c:v>160</c:v>
                      </c:pt>
                      <c:pt idx="29">
                        <c:v>158</c:v>
                      </c:pt>
                      <c:pt idx="30">
                        <c:v>94</c:v>
                      </c:pt>
                      <c:pt idx="31">
                        <c:v>105</c:v>
                      </c:pt>
                      <c:pt idx="32">
                        <c:v>224</c:v>
                      </c:pt>
                      <c:pt idx="33">
                        <c:v>132</c:v>
                      </c:pt>
                      <c:pt idx="34">
                        <c:v>269</c:v>
                      </c:pt>
                      <c:pt idx="35">
                        <c:v>170</c:v>
                      </c:pt>
                      <c:pt idx="36">
                        <c:v>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DCF-4A28-9CD9-51A4CC9C734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Monthly!$E$1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5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Monthly!$E$2:$E$38</c15:sqref>
                        </c15:formulaRef>
                      </c:ext>
                    </c:extLst>
                    <c:numCache>
                      <c:formatCode>m/d/yyyy</c:formatCode>
                      <c:ptCount val="37"/>
                      <c:pt idx="0">
                        <c:v>43891</c:v>
                      </c:pt>
                      <c:pt idx="1">
                        <c:v>43922</c:v>
                      </c:pt>
                      <c:pt idx="2">
                        <c:v>43952</c:v>
                      </c:pt>
                      <c:pt idx="3">
                        <c:v>43983</c:v>
                      </c:pt>
                      <c:pt idx="4">
                        <c:v>44013</c:v>
                      </c:pt>
                      <c:pt idx="5">
                        <c:v>44044</c:v>
                      </c:pt>
                      <c:pt idx="6">
                        <c:v>44075</c:v>
                      </c:pt>
                      <c:pt idx="7">
                        <c:v>44105</c:v>
                      </c:pt>
                      <c:pt idx="8">
                        <c:v>44136</c:v>
                      </c:pt>
                      <c:pt idx="9">
                        <c:v>44166</c:v>
                      </c:pt>
                      <c:pt idx="10">
                        <c:v>44197</c:v>
                      </c:pt>
                      <c:pt idx="11">
                        <c:v>44228</c:v>
                      </c:pt>
                      <c:pt idx="12">
                        <c:v>44256</c:v>
                      </c:pt>
                      <c:pt idx="13">
                        <c:v>44287</c:v>
                      </c:pt>
                      <c:pt idx="14">
                        <c:v>44317</c:v>
                      </c:pt>
                      <c:pt idx="15">
                        <c:v>44348</c:v>
                      </c:pt>
                      <c:pt idx="16">
                        <c:v>44378</c:v>
                      </c:pt>
                      <c:pt idx="17">
                        <c:v>44409</c:v>
                      </c:pt>
                      <c:pt idx="18">
                        <c:v>44440</c:v>
                      </c:pt>
                      <c:pt idx="19">
                        <c:v>44470</c:v>
                      </c:pt>
                      <c:pt idx="20">
                        <c:v>44501</c:v>
                      </c:pt>
                      <c:pt idx="21">
                        <c:v>44531</c:v>
                      </c:pt>
                      <c:pt idx="22">
                        <c:v>44562</c:v>
                      </c:pt>
                      <c:pt idx="23">
                        <c:v>44593</c:v>
                      </c:pt>
                      <c:pt idx="24">
                        <c:v>44621</c:v>
                      </c:pt>
                      <c:pt idx="25">
                        <c:v>44652</c:v>
                      </c:pt>
                      <c:pt idx="26">
                        <c:v>44682</c:v>
                      </c:pt>
                      <c:pt idx="27">
                        <c:v>44713</c:v>
                      </c:pt>
                      <c:pt idx="28">
                        <c:v>44743</c:v>
                      </c:pt>
                      <c:pt idx="29">
                        <c:v>44774</c:v>
                      </c:pt>
                      <c:pt idx="30">
                        <c:v>44805</c:v>
                      </c:pt>
                      <c:pt idx="31">
                        <c:v>44835</c:v>
                      </c:pt>
                      <c:pt idx="32">
                        <c:v>44866</c:v>
                      </c:pt>
                      <c:pt idx="33">
                        <c:v>44896</c:v>
                      </c:pt>
                      <c:pt idx="34">
                        <c:v>44927</c:v>
                      </c:pt>
                      <c:pt idx="35">
                        <c:v>44958</c:v>
                      </c:pt>
                      <c:pt idx="36">
                        <c:v>44986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DCF-4A28-9CD9-51A4CC9C7340}"/>
                  </c:ext>
                </c:extLst>
              </c15:ser>
            </c15:filteredLineSeries>
          </c:ext>
        </c:extLst>
      </c:lineChart>
      <c:dateAx>
        <c:axId val="33691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March 2023 covers only 1-6 March. May 2021 has no headcount reported and shows as a gap.</a:t>
                </a:r>
                <a:endParaRPr lang="en-US" sz="1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12255"/>
        <c:crosses val="autoZero"/>
        <c:auto val="1"/>
        <c:lblOffset val="100"/>
        <c:baseTimeUnit val="months"/>
      </c:dateAx>
      <c:valAx>
        <c:axId val="3369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People Laid 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Average % of Staff Laid Off, by Funding Stage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Stage!$D$1</c:f>
              <c:strCache>
                <c:ptCount val="1"/>
                <c:pt idx="0">
                  <c:v>avg_pct_cut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Stage!$A$2:$A$13</c:f>
              <c:strCache>
                <c:ptCount val="12"/>
                <c:pt idx="0">
                  <c:v>Seed</c:v>
                </c:pt>
                <c:pt idx="1">
                  <c:v>Series A</c:v>
                </c:pt>
                <c:pt idx="2">
                  <c:v>Series B</c:v>
                </c:pt>
                <c:pt idx="3">
                  <c:v>Series C</c:v>
                </c:pt>
                <c:pt idx="4">
                  <c:v>Series D</c:v>
                </c:pt>
                <c:pt idx="5">
                  <c:v>Series E</c:v>
                </c:pt>
                <c:pt idx="6">
                  <c:v>Series F</c:v>
                </c:pt>
                <c:pt idx="7">
                  <c:v>Series G</c:v>
                </c:pt>
                <c:pt idx="8">
                  <c:v>Series H</c:v>
                </c:pt>
                <c:pt idx="9">
                  <c:v>Series I</c:v>
                </c:pt>
                <c:pt idx="10">
                  <c:v>Series J</c:v>
                </c:pt>
                <c:pt idx="11">
                  <c:v>Post-IPO</c:v>
                </c:pt>
              </c:strCache>
            </c:strRef>
          </c:cat>
          <c:val>
            <c:numRef>
              <c:f>Stage!$D$2:$D$13</c:f>
              <c:numCache>
                <c:formatCode>General</c:formatCode>
                <c:ptCount val="12"/>
                <c:pt idx="0">
                  <c:v>70.2</c:v>
                </c:pt>
                <c:pt idx="1">
                  <c:v>38.4</c:v>
                </c:pt>
                <c:pt idx="2">
                  <c:v>32.200000000000003</c:v>
                </c:pt>
                <c:pt idx="3">
                  <c:v>23.9</c:v>
                </c:pt>
                <c:pt idx="4">
                  <c:v>18.399999999999999</c:v>
                </c:pt>
                <c:pt idx="5">
                  <c:v>18.3</c:v>
                </c:pt>
                <c:pt idx="6">
                  <c:v>13.9</c:v>
                </c:pt>
                <c:pt idx="7">
                  <c:v>16.100000000000001</c:v>
                </c:pt>
                <c:pt idx="8">
                  <c:v>13.6</c:v>
                </c:pt>
                <c:pt idx="9">
                  <c:v>9.6999999999999993</c:v>
                </c:pt>
                <c:pt idx="10">
                  <c:v>14.2</c:v>
                </c:pt>
                <c:pt idx="11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8-4990-851C-C9D3782BAB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093535"/>
        <c:axId val="500097695"/>
      </c:barChart>
      <c:catAx>
        <c:axId val="50009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Average of each event’s percentage, not weighted by company size. Series G, I and J have 15 or fewer events each.</a:t>
                </a:r>
                <a:endParaRPr lang="en-US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97695"/>
        <c:crosses val="autoZero"/>
        <c:auto val="1"/>
        <c:lblAlgn val="ctr"/>
        <c:lblOffset val="100"/>
        <c:noMultiLvlLbl val="0"/>
      </c:catAx>
      <c:valAx>
        <c:axId val="50009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Average % of staff laid off</a:t>
                </a:r>
                <a:endParaRPr lang="en-US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People Laid Off, by Funding Stage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Stage!$C$1</c:f>
              <c:strCache>
                <c:ptCount val="1"/>
                <c:pt idx="0">
                  <c:v>people_laid_off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Stage!$A$2:$A$13</c:f>
              <c:strCache>
                <c:ptCount val="12"/>
                <c:pt idx="0">
                  <c:v>Seed</c:v>
                </c:pt>
                <c:pt idx="1">
                  <c:v>Series A</c:v>
                </c:pt>
                <c:pt idx="2">
                  <c:v>Series B</c:v>
                </c:pt>
                <c:pt idx="3">
                  <c:v>Series C</c:v>
                </c:pt>
                <c:pt idx="4">
                  <c:v>Series D</c:v>
                </c:pt>
                <c:pt idx="5">
                  <c:v>Series E</c:v>
                </c:pt>
                <c:pt idx="6">
                  <c:v>Series F</c:v>
                </c:pt>
                <c:pt idx="7">
                  <c:v>Series G</c:v>
                </c:pt>
                <c:pt idx="8">
                  <c:v>Series H</c:v>
                </c:pt>
                <c:pt idx="9">
                  <c:v>Series I</c:v>
                </c:pt>
                <c:pt idx="10">
                  <c:v>Series J</c:v>
                </c:pt>
                <c:pt idx="11">
                  <c:v>Post-IPO</c:v>
                </c:pt>
              </c:strCache>
            </c:strRef>
          </c:cat>
          <c:val>
            <c:numRef>
              <c:f>Stage!$C$2:$C$13</c:f>
              <c:numCache>
                <c:formatCode>General</c:formatCode>
                <c:ptCount val="12"/>
                <c:pt idx="0">
                  <c:v>1636</c:v>
                </c:pt>
                <c:pt idx="1">
                  <c:v>5678</c:v>
                </c:pt>
                <c:pt idx="2">
                  <c:v>15311</c:v>
                </c:pt>
                <c:pt idx="3">
                  <c:v>20017</c:v>
                </c:pt>
                <c:pt idx="4">
                  <c:v>19225</c:v>
                </c:pt>
                <c:pt idx="5">
                  <c:v>12697</c:v>
                </c:pt>
                <c:pt idx="6">
                  <c:v>9932</c:v>
                </c:pt>
                <c:pt idx="7">
                  <c:v>3697</c:v>
                </c:pt>
                <c:pt idx="8">
                  <c:v>7244</c:v>
                </c:pt>
                <c:pt idx="9">
                  <c:v>2855</c:v>
                </c:pt>
                <c:pt idx="10">
                  <c:v>3570</c:v>
                </c:pt>
                <c:pt idx="11">
                  <c:v>204132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9-4A0B-B07A-2FDFA97E7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507679"/>
        <c:axId val="554505183"/>
      </c:barChart>
      <c:catAx>
        <c:axId val="55450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Headcount excludes events with no headcount reported.</a:t>
                </a:r>
                <a:endParaRPr lang="en-US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505183"/>
        <c:crosses val="autoZero"/>
        <c:auto val="1"/>
        <c:lblAlgn val="ctr"/>
        <c:lblOffset val="100"/>
        <c:noMultiLvlLbl val="0"/>
      </c:catAx>
      <c:valAx>
        <c:axId val="5545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People laid off</a:t>
                </a:r>
                <a:endParaRPr 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50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Top 10 Industries by People Laid Off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52732304581189"/>
          <c:y val="0.20641544469407572"/>
          <c:w val="0.85513587304189909"/>
          <c:h val="0.679573154165810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Industry!$C$1</c:f>
              <c:strCache>
                <c:ptCount val="1"/>
                <c:pt idx="0">
                  <c:v>people_laid_off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Industry!$A$2:$A$11</c:f>
              <c:strCache>
                <c:ptCount val="10"/>
                <c:pt idx="0">
                  <c:v>Consumer</c:v>
                </c:pt>
                <c:pt idx="1">
                  <c:v>Retail</c:v>
                </c:pt>
                <c:pt idx="2">
                  <c:v>Other</c:v>
                </c:pt>
                <c:pt idx="3">
                  <c:v>Transportation</c:v>
                </c:pt>
                <c:pt idx="4">
                  <c:v>Finance</c:v>
                </c:pt>
                <c:pt idx="5">
                  <c:v>Healthcare</c:v>
                </c:pt>
                <c:pt idx="6">
                  <c:v>Food</c:v>
                </c:pt>
                <c:pt idx="7">
                  <c:v>Real Estate</c:v>
                </c:pt>
                <c:pt idx="8">
                  <c:v>Travel</c:v>
                </c:pt>
                <c:pt idx="9">
                  <c:v>Hardware</c:v>
                </c:pt>
              </c:strCache>
            </c:strRef>
          </c:cat>
          <c:val>
            <c:numRef>
              <c:f>Industry!$C$2:$C$11</c:f>
              <c:numCache>
                <c:formatCode>General</c:formatCode>
                <c:ptCount val="10"/>
                <c:pt idx="0">
                  <c:v>44782</c:v>
                </c:pt>
                <c:pt idx="1">
                  <c:v>43613</c:v>
                </c:pt>
                <c:pt idx="2">
                  <c:v>36289</c:v>
                </c:pt>
                <c:pt idx="3">
                  <c:v>31248</c:v>
                </c:pt>
                <c:pt idx="4">
                  <c:v>28559</c:v>
                </c:pt>
                <c:pt idx="5">
                  <c:v>25953</c:v>
                </c:pt>
                <c:pt idx="6">
                  <c:v>22715</c:v>
                </c:pt>
                <c:pt idx="7">
                  <c:v>17565</c:v>
                </c:pt>
                <c:pt idx="8">
                  <c:v>17129</c:v>
                </c:pt>
                <c:pt idx="9">
                  <c:v>13828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B-48D2-9986-235E0DC8F3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1970111"/>
        <c:axId val="551975519"/>
      </c:barChart>
      <c:catAx>
        <c:axId val="551970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75519"/>
        <c:crosses val="autoZero"/>
        <c:auto val="1"/>
        <c:lblAlgn val="ctr"/>
        <c:lblOffset val="100"/>
        <c:noMultiLvlLbl val="0"/>
      </c:catAx>
      <c:valAx>
        <c:axId val="5519755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People laid off</a:t>
                </a:r>
                <a:endParaRPr lang="en-US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7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9</xdr:row>
      <xdr:rowOff>0</xdr:rowOff>
    </xdr:from>
    <xdr:to>
      <xdr:col>3</xdr:col>
      <xdr:colOff>391767</xdr:colOff>
      <xdr:row>33</xdr:row>
      <xdr:rowOff>67752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F03E5-8D57-4F48-9DAF-EA50F40A0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71717</xdr:colOff>
      <xdr:row>36</xdr:row>
      <xdr:rowOff>0</xdr:rowOff>
    </xdr:from>
    <xdr:to>
      <xdr:col>3</xdr:col>
      <xdr:colOff>402739</xdr:colOff>
      <xdr:row>59</xdr:row>
      <xdr:rowOff>63425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0EF793-A74B-445E-943E-E13EA0F4B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62</xdr:row>
      <xdr:rowOff>0</xdr:rowOff>
    </xdr:from>
    <xdr:to>
      <xdr:col>3</xdr:col>
      <xdr:colOff>360320</xdr:colOff>
      <xdr:row>85</xdr:row>
      <xdr:rowOff>165826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ED620E-5C7B-4868-B637-1F4BCCC59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</xdr:colOff>
      <xdr:row>1</xdr:row>
      <xdr:rowOff>11430</xdr:rowOff>
    </xdr:from>
    <xdr:to>
      <xdr:col>15</xdr:col>
      <xdr:colOff>7620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701CA-0163-491B-8D38-D5F1B70C1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</xdr:row>
      <xdr:rowOff>3810</xdr:rowOff>
    </xdr:from>
    <xdr:to>
      <xdr:col>17</xdr:col>
      <xdr:colOff>7620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A003B-903E-4BCB-9399-FAF21191A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659130</xdr:colOff>
      <xdr:row>0</xdr:row>
      <xdr:rowOff>171450</xdr:rowOff>
    </xdr:from>
    <xdr:to>
      <xdr:col>17</xdr:col>
      <xdr:colOff>7620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A7408-FA59-44BF-ABD9-07C33B66D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665363</xdr:colOff>
      <xdr:row>25</xdr:row>
      <xdr:rowOff>169454</xdr:rowOff>
    </xdr:from>
    <xdr:to>
      <xdr:col>16</xdr:col>
      <xdr:colOff>659923</xdr:colOff>
      <xdr:row>49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6FA61-70BE-47FC-BD2C-80485C56E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1</xdr:row>
      <xdr:rowOff>3810</xdr:rowOff>
    </xdr:from>
    <xdr:to>
      <xdr:col>17</xdr:col>
      <xdr:colOff>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A7CD0-4AE6-47E5-9452-88959CB33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0.44321</cdr:x>
      <cdr:y>0.39199</cdr:y>
    </cdr:from>
    <cdr:to>
      <cdr:x>0.55679</cdr:x>
      <cdr:y>0.60801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4ABF7B-97F4-47AD-B6BB-C1F1341E6214}"/>
            </a:ext>
          </a:extLst>
        </cdr:cNvPr>
        <cdr:cNvSpPr txBox="1"/>
      </cdr:nvSpPr>
      <cdr:spPr>
        <a:xfrm xmlns:a="http://schemas.openxmlformats.org/drawingml/2006/main">
          <a:off x="3568065" y="165925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0.00047</cdr:x>
      <cdr:y>0.91179</cdr:y>
    </cdr:from>
    <cdr:to>
      <cdr:x>0.99905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A0F7362-0047-4DDF-8BB9-BE625B397DBC}"/>
            </a:ext>
          </a:extLst>
        </cdr:cNvPr>
        <cdr:cNvSpPr txBox="1"/>
      </cdr:nvSpPr>
      <cdr:spPr>
        <a:xfrm xmlns:a="http://schemas.openxmlformats.org/drawingml/2006/main">
          <a:off x="3810" y="3859530"/>
          <a:ext cx="8039100" cy="373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00" b="0" i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Headcount excludes events with no headcount reported. “Other” is a catch-all category in the source data.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31F0-5597-409C-9895-D1AE3AC01EF1}">
  <dimension ref="A1:A8"/>
  <sheetViews>
    <sheetView topLeftCell="A61" zoomScaleNormal="100" workbookViewId="0">
      <selection activeCell="J66" sqref="J66"/>
    </sheetView>
  </sheetViews>
  <sheetFormatPr defaultRowHeight="13.8" x14ac:dyDescent="0.25"/>
  <cols>
    <col min="1" max="1" width="75" style="3" customWidth="1"/>
  </cols>
  <sheetData>
    <row r="1" spans="1:1" x14ac:dyDescent="0.25">
      <c r="A1" s="3" t="s">
        <v>71</v>
      </c>
    </row>
    <row r="2" spans="1:1" ht="28.8" x14ac:dyDescent="0.25">
      <c r="A2" s="4" t="s">
        <v>77</v>
      </c>
    </row>
    <row r="4" spans="1:1" ht="27.6" x14ac:dyDescent="0.25">
      <c r="A4" s="3" t="s">
        <v>72</v>
      </c>
    </row>
    <row r="5" spans="1:1" x14ac:dyDescent="0.25">
      <c r="A5" s="3" t="s">
        <v>73</v>
      </c>
    </row>
    <row r="6" spans="1:1" ht="41.4" x14ac:dyDescent="0.25">
      <c r="A6" s="3" t="s">
        <v>74</v>
      </c>
    </row>
    <row r="7" spans="1:1" ht="27.6" x14ac:dyDescent="0.25">
      <c r="A7" s="3" t="s">
        <v>75</v>
      </c>
    </row>
    <row r="8" spans="1:1" ht="27.6" x14ac:dyDescent="0.25">
      <c r="A8" s="3" t="s"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1E39-D67E-44FE-96A6-547FC65AEB34}">
  <dimension ref="A1:E11"/>
  <sheetViews>
    <sheetView tabSelected="1" workbookViewId="0">
      <selection activeCell="C11" sqref="C11"/>
    </sheetView>
  </sheetViews>
  <sheetFormatPr defaultRowHeight="13.8" x14ac:dyDescent="0.25"/>
  <cols>
    <col min="1" max="1" width="4.59765625" bestFit="1" customWidth="1"/>
    <col min="2" max="5" width="30" style="3" customWidth="1"/>
  </cols>
  <sheetData>
    <row r="1" spans="1:5" x14ac:dyDescent="0.25">
      <c r="A1" s="5" t="s">
        <v>78</v>
      </c>
      <c r="B1" s="6" t="s">
        <v>79</v>
      </c>
      <c r="C1" s="6" t="s">
        <v>80</v>
      </c>
      <c r="D1" s="6" t="s">
        <v>81</v>
      </c>
      <c r="E1" s="6" t="s">
        <v>82</v>
      </c>
    </row>
    <row r="2" spans="1:5" ht="27.6" x14ac:dyDescent="0.25">
      <c r="A2" s="5">
        <v>1</v>
      </c>
      <c r="B2" s="6" t="s">
        <v>83</v>
      </c>
      <c r="C2" s="6">
        <v>5</v>
      </c>
      <c r="D2" s="6" t="s">
        <v>84</v>
      </c>
      <c r="E2" s="6" t="s">
        <v>85</v>
      </c>
    </row>
    <row r="3" spans="1:5" ht="69" x14ac:dyDescent="0.25">
      <c r="A3" s="5">
        <v>2</v>
      </c>
      <c r="B3" s="6" t="s">
        <v>86</v>
      </c>
      <c r="C3" s="6" t="s">
        <v>87</v>
      </c>
      <c r="D3" s="6" t="s">
        <v>88</v>
      </c>
      <c r="E3" s="6" t="s">
        <v>89</v>
      </c>
    </row>
    <row r="4" spans="1:5" ht="41.4" x14ac:dyDescent="0.25">
      <c r="A4" s="5">
        <v>3</v>
      </c>
      <c r="B4" s="6" t="s">
        <v>90</v>
      </c>
      <c r="C4" s="6" t="s">
        <v>91</v>
      </c>
      <c r="D4" s="6" t="s">
        <v>92</v>
      </c>
      <c r="E4" s="6" t="s">
        <v>93</v>
      </c>
    </row>
    <row r="5" spans="1:5" ht="41.4" x14ac:dyDescent="0.25">
      <c r="A5" s="5">
        <v>4</v>
      </c>
      <c r="B5" s="6" t="s">
        <v>94</v>
      </c>
      <c r="C5" s="6" t="s">
        <v>95</v>
      </c>
      <c r="D5" s="6" t="s">
        <v>96</v>
      </c>
      <c r="E5" s="6" t="s">
        <v>97</v>
      </c>
    </row>
    <row r="6" spans="1:5" ht="27.6" x14ac:dyDescent="0.25">
      <c r="A6" s="5">
        <v>5</v>
      </c>
      <c r="B6" s="6" t="s">
        <v>98</v>
      </c>
      <c r="C6" s="6">
        <v>3</v>
      </c>
      <c r="D6" s="6" t="s">
        <v>99</v>
      </c>
      <c r="E6" s="6" t="s">
        <v>100</v>
      </c>
    </row>
    <row r="7" spans="1:5" ht="27.6" x14ac:dyDescent="0.25">
      <c r="A7" s="5">
        <v>6</v>
      </c>
      <c r="B7" s="6" t="s">
        <v>101</v>
      </c>
      <c r="C7" s="6">
        <v>3</v>
      </c>
      <c r="D7" s="6" t="s">
        <v>102</v>
      </c>
      <c r="E7" s="6" t="s">
        <v>103</v>
      </c>
    </row>
    <row r="8" spans="1:5" ht="27.6" x14ac:dyDescent="0.25">
      <c r="A8" s="5">
        <v>7</v>
      </c>
      <c r="B8" s="6" t="s">
        <v>104</v>
      </c>
      <c r="C8" s="6">
        <v>4</v>
      </c>
      <c r="D8" s="6" t="s">
        <v>105</v>
      </c>
      <c r="E8" s="6" t="s">
        <v>106</v>
      </c>
    </row>
    <row r="9" spans="1:5" ht="27.6" x14ac:dyDescent="0.25">
      <c r="A9" s="5">
        <v>8</v>
      </c>
      <c r="B9" s="6" t="s">
        <v>107</v>
      </c>
      <c r="C9" s="6" t="s">
        <v>108</v>
      </c>
      <c r="D9" s="6" t="s">
        <v>109</v>
      </c>
      <c r="E9" s="6" t="s">
        <v>110</v>
      </c>
    </row>
    <row r="10" spans="1:5" ht="41.4" x14ac:dyDescent="0.25">
      <c r="A10" s="5">
        <v>9</v>
      </c>
      <c r="B10" s="6" t="s">
        <v>111</v>
      </c>
      <c r="C10" s="6" t="s">
        <v>112</v>
      </c>
      <c r="D10" s="6" t="s">
        <v>113</v>
      </c>
      <c r="E10" s="6" t="s">
        <v>114</v>
      </c>
    </row>
    <row r="11" spans="1:5" ht="27.6" x14ac:dyDescent="0.25">
      <c r="A11" s="5">
        <v>10</v>
      </c>
      <c r="B11" s="6" t="s">
        <v>115</v>
      </c>
      <c r="C11" s="6" t="s">
        <v>116</v>
      </c>
      <c r="D11" s="6" t="s">
        <v>117</v>
      </c>
      <c r="E11" s="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0063-F859-48C2-8173-0AF3D546AADE}">
  <dimension ref="A1:C5"/>
  <sheetViews>
    <sheetView workbookViewId="0">
      <selection activeCell="B31" sqref="B31"/>
    </sheetView>
  </sheetViews>
  <sheetFormatPr defaultRowHeight="13.8" x14ac:dyDescent="0.25"/>
  <cols>
    <col min="1" max="1" width="4.8984375" bestFit="1" customWidth="1"/>
    <col min="2" max="2" width="11.5" bestFit="1" customWidth="1"/>
    <col min="3" max="3" width="13.1992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2020</v>
      </c>
      <c r="B2">
        <v>634</v>
      </c>
      <c r="C2">
        <v>80998</v>
      </c>
    </row>
    <row r="3" spans="1:3" x14ac:dyDescent="0.25">
      <c r="A3">
        <v>2021</v>
      </c>
      <c r="B3">
        <v>44</v>
      </c>
      <c r="C3">
        <v>15823</v>
      </c>
    </row>
    <row r="4" spans="1:3" x14ac:dyDescent="0.25">
      <c r="A4">
        <v>2022</v>
      </c>
      <c r="B4">
        <v>1207</v>
      </c>
      <c r="C4">
        <v>160521</v>
      </c>
    </row>
    <row r="5" spans="1:3" x14ac:dyDescent="0.25">
      <c r="A5">
        <v>2023</v>
      </c>
      <c r="B5">
        <v>466</v>
      </c>
      <c r="C5">
        <v>125677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BC8D-368D-4C04-8178-1A9705114E02}">
  <dimension ref="A1:E38"/>
  <sheetViews>
    <sheetView zoomScaleNormal="100" workbookViewId="0">
      <selection activeCell="T17" sqref="T17"/>
    </sheetView>
  </sheetViews>
  <sheetFormatPr defaultRowHeight="13.8" x14ac:dyDescent="0.25"/>
  <cols>
    <col min="1" max="1" width="4.8984375" bestFit="1" customWidth="1"/>
    <col min="2" max="2" width="3.796875" bestFit="1" customWidth="1"/>
    <col min="3" max="3" width="11.5" bestFit="1" customWidth="1"/>
    <col min="4" max="4" width="13.19921875" bestFit="1" customWidth="1"/>
    <col min="5" max="5" width="9.8984375" style="1" bestFit="1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s="1" t="s">
        <v>5</v>
      </c>
    </row>
    <row r="2" spans="1:5" x14ac:dyDescent="0.25">
      <c r="A2">
        <v>2020</v>
      </c>
      <c r="B2">
        <v>3</v>
      </c>
      <c r="C2">
        <v>121</v>
      </c>
      <c r="D2">
        <v>9628</v>
      </c>
      <c r="E2" s="1">
        <f>DATE(A2,B2,1)</f>
        <v>43891</v>
      </c>
    </row>
    <row r="3" spans="1:5" x14ac:dyDescent="0.25">
      <c r="A3">
        <v>2020</v>
      </c>
      <c r="B3">
        <v>4</v>
      </c>
      <c r="C3">
        <v>270</v>
      </c>
      <c r="D3">
        <v>26710</v>
      </c>
      <c r="E3" s="1">
        <f t="shared" ref="E3:E38" si="0">DATE(A3,B3,1)</f>
        <v>43922</v>
      </c>
    </row>
    <row r="4" spans="1:5" x14ac:dyDescent="0.25">
      <c r="A4">
        <v>2020</v>
      </c>
      <c r="B4">
        <v>5</v>
      </c>
      <c r="C4">
        <v>109</v>
      </c>
      <c r="D4">
        <v>25804</v>
      </c>
      <c r="E4" s="1">
        <f t="shared" si="0"/>
        <v>43952</v>
      </c>
    </row>
    <row r="5" spans="1:5" x14ac:dyDescent="0.25">
      <c r="A5">
        <v>2020</v>
      </c>
      <c r="B5">
        <v>6</v>
      </c>
      <c r="C5">
        <v>49</v>
      </c>
      <c r="D5">
        <v>7627</v>
      </c>
      <c r="E5" s="1">
        <f t="shared" si="0"/>
        <v>43983</v>
      </c>
    </row>
    <row r="6" spans="1:5" x14ac:dyDescent="0.25">
      <c r="A6">
        <v>2020</v>
      </c>
      <c r="B6">
        <v>7</v>
      </c>
      <c r="C6">
        <v>27</v>
      </c>
      <c r="D6">
        <v>7112</v>
      </c>
      <c r="E6" s="1">
        <f t="shared" si="0"/>
        <v>44013</v>
      </c>
    </row>
    <row r="7" spans="1:5" x14ac:dyDescent="0.25">
      <c r="A7">
        <v>2020</v>
      </c>
      <c r="B7">
        <v>8</v>
      </c>
      <c r="C7">
        <v>19</v>
      </c>
      <c r="D7">
        <v>1969</v>
      </c>
      <c r="E7" s="1">
        <f t="shared" si="0"/>
        <v>44044</v>
      </c>
    </row>
    <row r="8" spans="1:5" x14ac:dyDescent="0.25">
      <c r="A8">
        <v>2020</v>
      </c>
      <c r="B8">
        <v>9</v>
      </c>
      <c r="C8">
        <v>15</v>
      </c>
      <c r="D8">
        <v>609</v>
      </c>
      <c r="E8" s="1">
        <f t="shared" si="0"/>
        <v>44075</v>
      </c>
    </row>
    <row r="9" spans="1:5" x14ac:dyDescent="0.25">
      <c r="A9">
        <v>2020</v>
      </c>
      <c r="B9">
        <v>10</v>
      </c>
      <c r="C9">
        <v>9</v>
      </c>
      <c r="D9">
        <v>450</v>
      </c>
      <c r="E9" s="1">
        <f t="shared" si="0"/>
        <v>44105</v>
      </c>
    </row>
    <row r="10" spans="1:5" x14ac:dyDescent="0.25">
      <c r="A10">
        <v>2020</v>
      </c>
      <c r="B10">
        <v>11</v>
      </c>
      <c r="C10">
        <v>11</v>
      </c>
      <c r="D10">
        <v>237</v>
      </c>
      <c r="E10" s="1">
        <f t="shared" si="0"/>
        <v>44136</v>
      </c>
    </row>
    <row r="11" spans="1:5" x14ac:dyDescent="0.25">
      <c r="A11">
        <v>2020</v>
      </c>
      <c r="B11">
        <v>12</v>
      </c>
      <c r="C11">
        <v>4</v>
      </c>
      <c r="D11">
        <v>852</v>
      </c>
      <c r="E11" s="1">
        <f t="shared" si="0"/>
        <v>44166</v>
      </c>
    </row>
    <row r="12" spans="1:5" x14ac:dyDescent="0.25">
      <c r="A12">
        <v>2021</v>
      </c>
      <c r="B12">
        <v>1</v>
      </c>
      <c r="C12">
        <v>10</v>
      </c>
      <c r="D12">
        <v>6813</v>
      </c>
      <c r="E12" s="1">
        <f t="shared" si="0"/>
        <v>44197</v>
      </c>
    </row>
    <row r="13" spans="1:5" x14ac:dyDescent="0.25">
      <c r="A13">
        <v>2021</v>
      </c>
      <c r="B13">
        <v>2</v>
      </c>
      <c r="C13">
        <v>8</v>
      </c>
      <c r="D13">
        <v>868</v>
      </c>
      <c r="E13" s="1">
        <f t="shared" si="0"/>
        <v>44228</v>
      </c>
    </row>
    <row r="14" spans="1:5" x14ac:dyDescent="0.25">
      <c r="A14">
        <v>2021</v>
      </c>
      <c r="B14">
        <v>3</v>
      </c>
      <c r="C14">
        <v>4</v>
      </c>
      <c r="D14">
        <v>47</v>
      </c>
      <c r="E14" s="1">
        <f t="shared" si="0"/>
        <v>44256</v>
      </c>
    </row>
    <row r="15" spans="1:5" x14ac:dyDescent="0.25">
      <c r="A15">
        <v>2021</v>
      </c>
      <c r="B15">
        <v>4</v>
      </c>
      <c r="C15">
        <v>4</v>
      </c>
      <c r="D15">
        <v>261</v>
      </c>
      <c r="E15" s="1">
        <f t="shared" si="0"/>
        <v>44287</v>
      </c>
    </row>
    <row r="16" spans="1:5" x14ac:dyDescent="0.25">
      <c r="A16">
        <v>2021</v>
      </c>
      <c r="B16">
        <v>5</v>
      </c>
      <c r="C16">
        <v>1</v>
      </c>
      <c r="E16" s="1">
        <f t="shared" si="0"/>
        <v>44317</v>
      </c>
    </row>
    <row r="17" spans="1:5" x14ac:dyDescent="0.25">
      <c r="A17">
        <v>2021</v>
      </c>
      <c r="B17">
        <v>6</v>
      </c>
      <c r="C17">
        <v>1</v>
      </c>
      <c r="D17">
        <v>2434</v>
      </c>
      <c r="E17" s="1">
        <f t="shared" si="0"/>
        <v>44348</v>
      </c>
    </row>
    <row r="18" spans="1:5" x14ac:dyDescent="0.25">
      <c r="A18">
        <v>2021</v>
      </c>
      <c r="B18">
        <v>7</v>
      </c>
      <c r="C18">
        <v>1</v>
      </c>
      <c r="D18">
        <v>80</v>
      </c>
      <c r="E18" s="1">
        <f t="shared" si="0"/>
        <v>44378</v>
      </c>
    </row>
    <row r="19" spans="1:5" x14ac:dyDescent="0.25">
      <c r="A19">
        <v>2021</v>
      </c>
      <c r="B19">
        <v>8</v>
      </c>
      <c r="C19">
        <v>3</v>
      </c>
      <c r="D19">
        <v>1867</v>
      </c>
      <c r="E19" s="1">
        <f t="shared" si="0"/>
        <v>44409</v>
      </c>
    </row>
    <row r="20" spans="1:5" x14ac:dyDescent="0.25">
      <c r="A20">
        <v>2021</v>
      </c>
      <c r="B20">
        <v>9</v>
      </c>
      <c r="C20">
        <v>5</v>
      </c>
      <c r="D20">
        <v>161</v>
      </c>
      <c r="E20" s="1">
        <f t="shared" si="0"/>
        <v>44440</v>
      </c>
    </row>
    <row r="21" spans="1:5" x14ac:dyDescent="0.25">
      <c r="A21">
        <v>2021</v>
      </c>
      <c r="B21">
        <v>10</v>
      </c>
      <c r="C21">
        <v>2</v>
      </c>
      <c r="D21">
        <v>22</v>
      </c>
      <c r="E21" s="1">
        <f t="shared" si="0"/>
        <v>44470</v>
      </c>
    </row>
    <row r="22" spans="1:5" x14ac:dyDescent="0.25">
      <c r="A22">
        <v>2021</v>
      </c>
      <c r="B22">
        <v>11</v>
      </c>
      <c r="C22">
        <v>2</v>
      </c>
      <c r="D22">
        <v>2070</v>
      </c>
      <c r="E22" s="1">
        <f t="shared" si="0"/>
        <v>44501</v>
      </c>
    </row>
    <row r="23" spans="1:5" x14ac:dyDescent="0.25">
      <c r="A23">
        <v>2021</v>
      </c>
      <c r="B23">
        <v>12</v>
      </c>
      <c r="C23">
        <v>3</v>
      </c>
      <c r="D23">
        <v>1200</v>
      </c>
      <c r="E23" s="1">
        <f t="shared" si="0"/>
        <v>44531</v>
      </c>
    </row>
    <row r="24" spans="1:5" x14ac:dyDescent="0.25">
      <c r="A24">
        <v>2022</v>
      </c>
      <c r="B24">
        <v>1</v>
      </c>
      <c r="C24">
        <v>4</v>
      </c>
      <c r="D24">
        <v>510</v>
      </c>
      <c r="E24" s="1">
        <f t="shared" si="0"/>
        <v>44562</v>
      </c>
    </row>
    <row r="25" spans="1:5" x14ac:dyDescent="0.25">
      <c r="A25">
        <v>2022</v>
      </c>
      <c r="B25">
        <v>2</v>
      </c>
      <c r="C25">
        <v>12</v>
      </c>
      <c r="D25">
        <v>3685</v>
      </c>
      <c r="E25" s="1">
        <f t="shared" si="0"/>
        <v>44593</v>
      </c>
    </row>
    <row r="26" spans="1:5" x14ac:dyDescent="0.25">
      <c r="A26">
        <v>2022</v>
      </c>
      <c r="B26">
        <v>3</v>
      </c>
      <c r="C26">
        <v>18</v>
      </c>
      <c r="D26">
        <v>5714</v>
      </c>
      <c r="E26" s="1">
        <f t="shared" si="0"/>
        <v>44621</v>
      </c>
    </row>
    <row r="27" spans="1:5" x14ac:dyDescent="0.25">
      <c r="A27">
        <v>2022</v>
      </c>
      <c r="B27">
        <v>4</v>
      </c>
      <c r="C27">
        <v>29</v>
      </c>
      <c r="D27">
        <v>4128</v>
      </c>
      <c r="E27" s="1">
        <f t="shared" si="0"/>
        <v>44652</v>
      </c>
    </row>
    <row r="28" spans="1:5" x14ac:dyDescent="0.25">
      <c r="A28">
        <v>2022</v>
      </c>
      <c r="B28">
        <v>5</v>
      </c>
      <c r="C28">
        <v>77</v>
      </c>
      <c r="D28">
        <v>12885</v>
      </c>
      <c r="E28" s="1">
        <f t="shared" si="0"/>
        <v>44682</v>
      </c>
    </row>
    <row r="29" spans="1:5" x14ac:dyDescent="0.25">
      <c r="A29">
        <v>2022</v>
      </c>
      <c r="B29">
        <v>6</v>
      </c>
      <c r="C29">
        <v>194</v>
      </c>
      <c r="D29">
        <v>17394</v>
      </c>
      <c r="E29" s="1">
        <f t="shared" si="0"/>
        <v>44713</v>
      </c>
    </row>
    <row r="30" spans="1:5" x14ac:dyDescent="0.25">
      <c r="A30">
        <v>2022</v>
      </c>
      <c r="B30">
        <v>7</v>
      </c>
      <c r="C30">
        <v>160</v>
      </c>
      <c r="D30">
        <v>16223</v>
      </c>
      <c r="E30" s="1">
        <f t="shared" si="0"/>
        <v>44743</v>
      </c>
    </row>
    <row r="31" spans="1:5" x14ac:dyDescent="0.25">
      <c r="A31">
        <v>2022</v>
      </c>
      <c r="B31">
        <v>8</v>
      </c>
      <c r="C31">
        <v>158</v>
      </c>
      <c r="D31">
        <v>13055</v>
      </c>
      <c r="E31" s="1">
        <f t="shared" si="0"/>
        <v>44774</v>
      </c>
    </row>
    <row r="32" spans="1:5" x14ac:dyDescent="0.25">
      <c r="A32">
        <v>2022</v>
      </c>
      <c r="B32">
        <v>9</v>
      </c>
      <c r="C32">
        <v>94</v>
      </c>
      <c r="D32">
        <v>5881</v>
      </c>
      <c r="E32" s="1">
        <f t="shared" si="0"/>
        <v>44805</v>
      </c>
    </row>
    <row r="33" spans="1:5" x14ac:dyDescent="0.25">
      <c r="A33">
        <v>2022</v>
      </c>
      <c r="B33">
        <v>10</v>
      </c>
      <c r="C33">
        <v>105</v>
      </c>
      <c r="D33">
        <v>17406</v>
      </c>
      <c r="E33" s="1">
        <f t="shared" si="0"/>
        <v>44835</v>
      </c>
    </row>
    <row r="34" spans="1:5" x14ac:dyDescent="0.25">
      <c r="A34">
        <v>2022</v>
      </c>
      <c r="B34">
        <v>11</v>
      </c>
      <c r="C34">
        <v>224</v>
      </c>
      <c r="D34">
        <v>53311</v>
      </c>
      <c r="E34" s="1">
        <f t="shared" si="0"/>
        <v>44866</v>
      </c>
    </row>
    <row r="35" spans="1:5" x14ac:dyDescent="0.25">
      <c r="A35">
        <v>2022</v>
      </c>
      <c r="B35">
        <v>12</v>
      </c>
      <c r="C35">
        <v>132</v>
      </c>
      <c r="D35">
        <v>10329</v>
      </c>
      <c r="E35" s="1">
        <f t="shared" si="0"/>
        <v>44896</v>
      </c>
    </row>
    <row r="36" spans="1:5" x14ac:dyDescent="0.25">
      <c r="A36">
        <v>2023</v>
      </c>
      <c r="B36">
        <v>1</v>
      </c>
      <c r="C36">
        <v>269</v>
      </c>
      <c r="D36">
        <v>84714</v>
      </c>
      <c r="E36" s="1">
        <f t="shared" si="0"/>
        <v>44927</v>
      </c>
    </row>
    <row r="37" spans="1:5" x14ac:dyDescent="0.25">
      <c r="A37">
        <v>2023</v>
      </c>
      <c r="B37">
        <v>2</v>
      </c>
      <c r="C37">
        <v>170</v>
      </c>
      <c r="D37">
        <v>36493</v>
      </c>
      <c r="E37" s="1">
        <f t="shared" si="0"/>
        <v>44958</v>
      </c>
    </row>
    <row r="38" spans="1:5" x14ac:dyDescent="0.25">
      <c r="A38">
        <v>2023</v>
      </c>
      <c r="B38">
        <v>3</v>
      </c>
      <c r="C38">
        <v>27</v>
      </c>
      <c r="D38">
        <v>4470</v>
      </c>
      <c r="E38" s="1">
        <f t="shared" si="0"/>
        <v>44986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D307-7D08-4BD9-9BD1-40162C303FD6}">
  <dimension ref="A1:E17"/>
  <sheetViews>
    <sheetView topLeftCell="C31" zoomScaleNormal="100" workbookViewId="0">
      <selection activeCell="C49" sqref="C49"/>
    </sheetView>
  </sheetViews>
  <sheetFormatPr defaultRowHeight="13.8" x14ac:dyDescent="0.25"/>
  <cols>
    <col min="1" max="1" width="12" bestFit="1" customWidth="1"/>
    <col min="2" max="2" width="11.5" bestFit="1" customWidth="1"/>
    <col min="3" max="3" width="13.19921875" bestFit="1" customWidth="1"/>
    <col min="4" max="4" width="10.59765625" bestFit="1" customWidth="1"/>
    <col min="5" max="5" width="9.5" bestFit="1" customWidth="1"/>
  </cols>
  <sheetData>
    <row r="1" spans="1:5" x14ac:dyDescent="0.25">
      <c r="A1" t="s">
        <v>6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9</v>
      </c>
      <c r="B2">
        <v>65</v>
      </c>
      <c r="C2">
        <v>1636</v>
      </c>
      <c r="D2">
        <v>70.2</v>
      </c>
      <c r="E2">
        <v>23</v>
      </c>
    </row>
    <row r="3" spans="1:5" x14ac:dyDescent="0.25">
      <c r="A3" t="s">
        <v>10</v>
      </c>
      <c r="B3">
        <v>176</v>
      </c>
      <c r="C3">
        <v>5678</v>
      </c>
      <c r="D3">
        <v>38.4</v>
      </c>
      <c r="E3">
        <v>13</v>
      </c>
    </row>
    <row r="4" spans="1:5" x14ac:dyDescent="0.25">
      <c r="A4" t="s">
        <v>11</v>
      </c>
      <c r="B4">
        <v>305</v>
      </c>
      <c r="C4">
        <v>15311</v>
      </c>
      <c r="D4">
        <v>32.200000000000003</v>
      </c>
      <c r="E4">
        <v>19</v>
      </c>
    </row>
    <row r="5" spans="1:5" x14ac:dyDescent="0.25">
      <c r="A5" t="s">
        <v>12</v>
      </c>
      <c r="B5">
        <v>303</v>
      </c>
      <c r="C5">
        <v>20017</v>
      </c>
      <c r="D5">
        <v>23.9</v>
      </c>
      <c r="E5">
        <v>7</v>
      </c>
    </row>
    <row r="6" spans="1:5" x14ac:dyDescent="0.25">
      <c r="A6" t="s">
        <v>13</v>
      </c>
      <c r="B6">
        <v>225</v>
      </c>
      <c r="C6">
        <v>19225</v>
      </c>
      <c r="D6">
        <v>18.399999999999999</v>
      </c>
      <c r="E6">
        <v>1</v>
      </c>
    </row>
    <row r="7" spans="1:5" x14ac:dyDescent="0.25">
      <c r="A7" t="s">
        <v>14</v>
      </c>
      <c r="B7">
        <v>125</v>
      </c>
      <c r="C7">
        <v>12697</v>
      </c>
      <c r="D7">
        <v>18.3</v>
      </c>
      <c r="E7">
        <v>3</v>
      </c>
    </row>
    <row r="8" spans="1:5" x14ac:dyDescent="0.25">
      <c r="A8" t="s">
        <v>15</v>
      </c>
      <c r="B8">
        <v>65</v>
      </c>
      <c r="C8">
        <v>9932</v>
      </c>
      <c r="D8">
        <v>13.9</v>
      </c>
      <c r="E8">
        <v>0</v>
      </c>
    </row>
    <row r="9" spans="1:5" x14ac:dyDescent="0.25">
      <c r="A9" t="s">
        <v>16</v>
      </c>
      <c r="B9">
        <v>15</v>
      </c>
      <c r="C9">
        <v>3697</v>
      </c>
      <c r="D9">
        <v>16.100000000000001</v>
      </c>
      <c r="E9">
        <v>0</v>
      </c>
    </row>
    <row r="10" spans="1:5" x14ac:dyDescent="0.25">
      <c r="A10" t="s">
        <v>17</v>
      </c>
      <c r="B10">
        <v>24</v>
      </c>
      <c r="C10">
        <v>7244</v>
      </c>
      <c r="D10">
        <v>13.6</v>
      </c>
      <c r="E10">
        <v>0</v>
      </c>
    </row>
    <row r="11" spans="1:5" x14ac:dyDescent="0.25">
      <c r="A11" t="s">
        <v>18</v>
      </c>
      <c r="B11">
        <v>7</v>
      </c>
      <c r="C11">
        <v>2855</v>
      </c>
      <c r="D11">
        <v>9.6999999999999993</v>
      </c>
      <c r="E11">
        <v>0</v>
      </c>
    </row>
    <row r="12" spans="1:5" x14ac:dyDescent="0.25">
      <c r="A12" t="s">
        <v>19</v>
      </c>
      <c r="B12">
        <v>8</v>
      </c>
      <c r="C12">
        <v>3570</v>
      </c>
      <c r="D12">
        <v>14.2</v>
      </c>
      <c r="E12">
        <v>0</v>
      </c>
    </row>
    <row r="13" spans="1:5" x14ac:dyDescent="0.25">
      <c r="A13" t="s">
        <v>20</v>
      </c>
      <c r="B13">
        <v>426</v>
      </c>
      <c r="C13">
        <v>204132</v>
      </c>
      <c r="D13">
        <v>15.8</v>
      </c>
      <c r="E13">
        <v>3</v>
      </c>
    </row>
    <row r="14" spans="1:5" x14ac:dyDescent="0.25">
      <c r="A14" t="s">
        <v>21</v>
      </c>
      <c r="B14">
        <v>171</v>
      </c>
      <c r="C14">
        <v>27576</v>
      </c>
      <c r="D14">
        <v>30.7</v>
      </c>
      <c r="E14">
        <v>12</v>
      </c>
    </row>
    <row r="15" spans="1:5" x14ac:dyDescent="0.25">
      <c r="A15" t="s">
        <v>22</v>
      </c>
      <c r="B15">
        <v>38</v>
      </c>
      <c r="C15">
        <v>7957</v>
      </c>
      <c r="D15">
        <v>15.9</v>
      </c>
      <c r="E15">
        <v>1</v>
      </c>
    </row>
    <row r="16" spans="1:5" x14ac:dyDescent="0.25">
      <c r="A16" t="s">
        <v>23</v>
      </c>
      <c r="B16">
        <v>5</v>
      </c>
      <c r="C16">
        <v>1094</v>
      </c>
      <c r="D16">
        <v>5.7</v>
      </c>
      <c r="E16">
        <v>0</v>
      </c>
    </row>
    <row r="17" spans="1:5" x14ac:dyDescent="0.25">
      <c r="A17" t="s">
        <v>24</v>
      </c>
      <c r="B17">
        <v>394</v>
      </c>
      <c r="C17">
        <v>40898</v>
      </c>
      <c r="D17">
        <v>31.4</v>
      </c>
      <c r="E17">
        <v>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5110-37C6-404B-BE3C-8E10BA1D1821}">
  <dimension ref="A1:D31"/>
  <sheetViews>
    <sheetView workbookViewId="0">
      <selection activeCell="E29" sqref="E29"/>
    </sheetView>
  </sheetViews>
  <sheetFormatPr defaultRowHeight="13.8" x14ac:dyDescent="0.25"/>
  <cols>
    <col min="1" max="1" width="12.59765625" bestFit="1" customWidth="1"/>
    <col min="2" max="2" width="11.5" bestFit="1" customWidth="1"/>
    <col min="3" max="3" width="13.19921875" bestFit="1" customWidth="1"/>
    <col min="4" max="4" width="10.59765625" bestFit="1" customWidth="1"/>
  </cols>
  <sheetData>
    <row r="1" spans="1:4" x14ac:dyDescent="0.25">
      <c r="A1" t="s">
        <v>54</v>
      </c>
      <c r="B1" t="s">
        <v>1</v>
      </c>
      <c r="C1" t="s">
        <v>2</v>
      </c>
      <c r="D1" t="s">
        <v>7</v>
      </c>
    </row>
    <row r="2" spans="1:4" x14ac:dyDescent="0.25">
      <c r="A2" t="s">
        <v>25</v>
      </c>
      <c r="B2">
        <v>116</v>
      </c>
      <c r="C2">
        <v>44782</v>
      </c>
      <c r="D2">
        <v>26.5</v>
      </c>
    </row>
    <row r="3" spans="1:4" x14ac:dyDescent="0.25">
      <c r="A3" t="s">
        <v>26</v>
      </c>
      <c r="B3">
        <v>194</v>
      </c>
      <c r="C3">
        <v>43613</v>
      </c>
      <c r="D3">
        <v>26.9</v>
      </c>
    </row>
    <row r="4" spans="1:4" x14ac:dyDescent="0.25">
      <c r="A4" t="s">
        <v>27</v>
      </c>
      <c r="B4">
        <v>129</v>
      </c>
      <c r="C4">
        <v>36289</v>
      </c>
      <c r="D4">
        <v>22.2</v>
      </c>
    </row>
    <row r="5" spans="1:4" x14ac:dyDescent="0.25">
      <c r="A5" t="s">
        <v>28</v>
      </c>
      <c r="B5">
        <v>147</v>
      </c>
      <c r="C5">
        <v>31248</v>
      </c>
      <c r="D5">
        <v>25.3</v>
      </c>
    </row>
    <row r="6" spans="1:4" x14ac:dyDescent="0.25">
      <c r="A6" t="s">
        <v>29</v>
      </c>
      <c r="B6">
        <v>287</v>
      </c>
      <c r="C6">
        <v>28559</v>
      </c>
      <c r="D6">
        <v>24.5</v>
      </c>
    </row>
    <row r="7" spans="1:4" x14ac:dyDescent="0.25">
      <c r="A7" t="s">
        <v>30</v>
      </c>
      <c r="B7">
        <v>183</v>
      </c>
      <c r="C7">
        <v>25953</v>
      </c>
      <c r="D7">
        <v>28.4</v>
      </c>
    </row>
    <row r="8" spans="1:4" x14ac:dyDescent="0.25">
      <c r="A8" t="s">
        <v>31</v>
      </c>
      <c r="B8">
        <v>139</v>
      </c>
      <c r="C8">
        <v>22715</v>
      </c>
      <c r="D8">
        <v>32.799999999999997</v>
      </c>
    </row>
    <row r="9" spans="1:4" x14ac:dyDescent="0.25">
      <c r="A9" t="s">
        <v>32</v>
      </c>
      <c r="B9">
        <v>117</v>
      </c>
      <c r="C9">
        <v>17565</v>
      </c>
      <c r="D9">
        <v>31.7</v>
      </c>
    </row>
    <row r="10" spans="1:4" x14ac:dyDescent="0.25">
      <c r="A10" t="s">
        <v>33</v>
      </c>
      <c r="B10">
        <v>66</v>
      </c>
      <c r="C10">
        <v>17129</v>
      </c>
      <c r="D10">
        <v>34.9</v>
      </c>
    </row>
    <row r="11" spans="1:4" x14ac:dyDescent="0.25">
      <c r="A11" t="s">
        <v>34</v>
      </c>
      <c r="B11">
        <v>17</v>
      </c>
      <c r="C11">
        <v>13828</v>
      </c>
      <c r="D11">
        <v>22</v>
      </c>
    </row>
    <row r="12" spans="1:4" x14ac:dyDescent="0.25">
      <c r="A12" t="s">
        <v>35</v>
      </c>
      <c r="B12">
        <v>93</v>
      </c>
      <c r="C12">
        <v>13338</v>
      </c>
      <c r="D12">
        <v>35.700000000000003</v>
      </c>
    </row>
    <row r="13" spans="1:4" x14ac:dyDescent="0.25">
      <c r="A13" t="s">
        <v>36</v>
      </c>
      <c r="B13">
        <v>37</v>
      </c>
      <c r="C13">
        <v>13216</v>
      </c>
      <c r="D13">
        <v>11</v>
      </c>
    </row>
    <row r="14" spans="1:4" x14ac:dyDescent="0.25">
      <c r="A14" t="s">
        <v>37</v>
      </c>
      <c r="B14">
        <v>101</v>
      </c>
      <c r="C14">
        <v>10693</v>
      </c>
      <c r="D14">
        <v>29.1</v>
      </c>
    </row>
    <row r="15" spans="1:4" x14ac:dyDescent="0.25">
      <c r="A15" t="s">
        <v>38</v>
      </c>
      <c r="B15">
        <v>138</v>
      </c>
      <c r="C15">
        <v>10258</v>
      </c>
      <c r="D15">
        <v>20.399999999999999</v>
      </c>
    </row>
    <row r="16" spans="1:4" x14ac:dyDescent="0.25">
      <c r="A16" t="s">
        <v>39</v>
      </c>
      <c r="B16">
        <v>31</v>
      </c>
      <c r="C16">
        <v>8748</v>
      </c>
      <c r="D16">
        <v>30.6</v>
      </c>
    </row>
    <row r="17" spans="1:4" x14ac:dyDescent="0.25">
      <c r="A17" t="s">
        <v>40</v>
      </c>
      <c r="B17">
        <v>74</v>
      </c>
      <c r="C17">
        <v>5979</v>
      </c>
      <c r="D17">
        <v>15.8</v>
      </c>
    </row>
    <row r="18" spans="1:4" x14ac:dyDescent="0.25">
      <c r="A18" t="s">
        <v>41</v>
      </c>
      <c r="B18">
        <v>43</v>
      </c>
      <c r="C18">
        <v>5785</v>
      </c>
      <c r="D18">
        <v>28.8</v>
      </c>
    </row>
    <row r="19" spans="1:4" x14ac:dyDescent="0.25">
      <c r="A19" t="s">
        <v>42</v>
      </c>
      <c r="B19">
        <v>95</v>
      </c>
      <c r="C19">
        <v>5234</v>
      </c>
      <c r="D19">
        <v>23.1</v>
      </c>
    </row>
    <row r="20" spans="1:4" x14ac:dyDescent="0.25">
      <c r="A20" t="s">
        <v>43</v>
      </c>
      <c r="B20">
        <v>79</v>
      </c>
      <c r="C20">
        <v>5135</v>
      </c>
      <c r="D20">
        <v>19.600000000000001</v>
      </c>
    </row>
    <row r="21" spans="1:4" x14ac:dyDescent="0.25">
      <c r="A21" t="s">
        <v>44</v>
      </c>
      <c r="B21">
        <v>42</v>
      </c>
      <c r="C21">
        <v>4026</v>
      </c>
      <c r="D21">
        <v>18.100000000000001</v>
      </c>
    </row>
    <row r="22" spans="1:4" x14ac:dyDescent="0.25">
      <c r="A22" t="s">
        <v>45</v>
      </c>
      <c r="B22">
        <v>16</v>
      </c>
      <c r="C22">
        <v>3863</v>
      </c>
      <c r="D22">
        <v>26.7</v>
      </c>
    </row>
    <row r="23" spans="1:4" x14ac:dyDescent="0.25">
      <c r="A23" t="s">
        <v>46</v>
      </c>
      <c r="B23">
        <v>43</v>
      </c>
      <c r="C23">
        <v>3523</v>
      </c>
      <c r="D23">
        <v>19.600000000000001</v>
      </c>
    </row>
    <row r="24" spans="1:4" x14ac:dyDescent="0.25">
      <c r="A24" t="s">
        <v>4</v>
      </c>
      <c r="B24">
        <v>4</v>
      </c>
      <c r="C24">
        <v>2930</v>
      </c>
      <c r="D24">
        <v>19</v>
      </c>
    </row>
    <row r="25" spans="1:4" x14ac:dyDescent="0.25">
      <c r="A25" t="s">
        <v>47</v>
      </c>
      <c r="B25">
        <v>65</v>
      </c>
      <c r="C25">
        <v>2783</v>
      </c>
      <c r="D25">
        <v>21.9</v>
      </c>
    </row>
    <row r="26" spans="1:4" x14ac:dyDescent="0.25">
      <c r="A26" t="s">
        <v>48</v>
      </c>
      <c r="B26">
        <v>28</v>
      </c>
      <c r="C26">
        <v>2775</v>
      </c>
      <c r="D26">
        <v>32.299999999999997</v>
      </c>
    </row>
    <row r="27" spans="1:4" x14ac:dyDescent="0.25">
      <c r="A27" t="s">
        <v>49</v>
      </c>
      <c r="B27">
        <v>35</v>
      </c>
      <c r="C27">
        <v>1233</v>
      </c>
      <c r="D27">
        <v>25.3</v>
      </c>
    </row>
    <row r="28" spans="1:4" x14ac:dyDescent="0.25">
      <c r="A28" t="s">
        <v>50</v>
      </c>
      <c r="B28">
        <v>13</v>
      </c>
      <c r="C28">
        <v>836</v>
      </c>
      <c r="D28">
        <v>23.3</v>
      </c>
    </row>
    <row r="29" spans="1:4" x14ac:dyDescent="0.25">
      <c r="A29" t="s">
        <v>51</v>
      </c>
      <c r="B29">
        <v>12</v>
      </c>
      <c r="C29">
        <v>802</v>
      </c>
      <c r="D29">
        <v>21.4</v>
      </c>
    </row>
    <row r="30" spans="1:4" x14ac:dyDescent="0.25">
      <c r="A30" t="s">
        <v>52</v>
      </c>
      <c r="B30">
        <v>6</v>
      </c>
      <c r="C30">
        <v>661</v>
      </c>
      <c r="D30">
        <v>56.5</v>
      </c>
    </row>
    <row r="31" spans="1:4" x14ac:dyDescent="0.25">
      <c r="A31" t="s">
        <v>53</v>
      </c>
      <c r="B31">
        <v>2</v>
      </c>
      <c r="C31">
        <v>20</v>
      </c>
      <c r="D31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0EAE-0915-4218-9E5B-BA2C4E6F74E8}">
  <dimension ref="A1:F13"/>
  <sheetViews>
    <sheetView zoomScale="130" zoomScaleNormal="130" workbookViewId="0">
      <selection activeCell="F16" sqref="F16"/>
    </sheetView>
  </sheetViews>
  <sheetFormatPr defaultRowHeight="13.8" x14ac:dyDescent="0.25"/>
  <cols>
    <col min="1" max="1" width="16" bestFit="1" customWidth="1"/>
    <col min="2" max="2" width="12" bestFit="1" customWidth="1"/>
    <col min="3" max="3" width="12.59765625" bestFit="1" customWidth="1"/>
    <col min="4" max="4" width="9.8984375" bestFit="1" customWidth="1"/>
    <col min="5" max="5" width="11.09765625" bestFit="1" customWidth="1"/>
    <col min="6" max="6" width="18.296875" bestFit="1" customWidth="1"/>
  </cols>
  <sheetData>
    <row r="1" spans="1:6" x14ac:dyDescent="0.25">
      <c r="A1" t="s">
        <v>55</v>
      </c>
      <c r="B1" t="s">
        <v>6</v>
      </c>
      <c r="C1" t="s">
        <v>54</v>
      </c>
      <c r="D1" t="s">
        <v>56</v>
      </c>
      <c r="E1" t="s">
        <v>57</v>
      </c>
      <c r="F1" t="s">
        <v>58</v>
      </c>
    </row>
    <row r="2" spans="1:6" x14ac:dyDescent="0.25">
      <c r="A2" t="s">
        <v>59</v>
      </c>
      <c r="B2" t="s">
        <v>24</v>
      </c>
      <c r="C2" t="s">
        <v>28</v>
      </c>
      <c r="D2" s="1">
        <v>44943</v>
      </c>
      <c r="E2">
        <v>206</v>
      </c>
      <c r="F2">
        <v>2400</v>
      </c>
    </row>
    <row r="3" spans="1:6" x14ac:dyDescent="0.25">
      <c r="A3" t="s">
        <v>60</v>
      </c>
      <c r="B3" t="s">
        <v>22</v>
      </c>
      <c r="C3" t="s">
        <v>42</v>
      </c>
      <c r="D3" s="1">
        <v>44125</v>
      </c>
      <c r="E3" t="s">
        <v>69</v>
      </c>
      <c r="F3">
        <v>1800</v>
      </c>
    </row>
    <row r="4" spans="1:6" x14ac:dyDescent="0.25">
      <c r="A4" t="s">
        <v>61</v>
      </c>
      <c r="B4" t="s">
        <v>20</v>
      </c>
      <c r="C4" t="s">
        <v>31</v>
      </c>
      <c r="D4" s="1">
        <v>44880</v>
      </c>
      <c r="E4">
        <v>120</v>
      </c>
      <c r="F4">
        <v>1700</v>
      </c>
    </row>
    <row r="5" spans="1:6" x14ac:dyDescent="0.25">
      <c r="A5" t="s">
        <v>62</v>
      </c>
      <c r="B5" t="s">
        <v>24</v>
      </c>
      <c r="C5" t="s">
        <v>45</v>
      </c>
      <c r="D5" s="1">
        <v>44348</v>
      </c>
      <c r="E5">
        <v>2434</v>
      </c>
      <c r="F5">
        <v>1600</v>
      </c>
    </row>
    <row r="6" spans="1:6" x14ac:dyDescent="0.25">
      <c r="A6" t="s">
        <v>63</v>
      </c>
      <c r="B6" t="s">
        <v>14</v>
      </c>
      <c r="C6" t="s">
        <v>37</v>
      </c>
      <c r="D6" s="1">
        <v>44893</v>
      </c>
      <c r="E6" t="s">
        <v>69</v>
      </c>
      <c r="F6">
        <v>1000</v>
      </c>
    </row>
    <row r="7" spans="1:6" x14ac:dyDescent="0.25">
      <c r="A7" t="s">
        <v>64</v>
      </c>
      <c r="B7" t="s">
        <v>24</v>
      </c>
      <c r="C7" t="s">
        <v>29</v>
      </c>
      <c r="D7" s="1">
        <v>44207</v>
      </c>
      <c r="E7" t="s">
        <v>69</v>
      </c>
      <c r="F7">
        <v>584</v>
      </c>
    </row>
    <row r="8" spans="1:6" x14ac:dyDescent="0.25">
      <c r="A8" t="s">
        <v>65</v>
      </c>
      <c r="B8" t="s">
        <v>20</v>
      </c>
      <c r="C8" t="s">
        <v>29</v>
      </c>
      <c r="D8" s="1">
        <v>44964</v>
      </c>
      <c r="E8">
        <v>83</v>
      </c>
      <c r="F8">
        <v>299</v>
      </c>
    </row>
    <row r="9" spans="1:6" x14ac:dyDescent="0.25">
      <c r="A9" t="s">
        <v>66</v>
      </c>
      <c r="B9" t="s">
        <v>12</v>
      </c>
      <c r="C9" t="s">
        <v>38</v>
      </c>
      <c r="D9" s="1">
        <v>44783</v>
      </c>
      <c r="E9" t="s">
        <v>69</v>
      </c>
      <c r="F9">
        <v>238</v>
      </c>
    </row>
    <row r="10" spans="1:6" x14ac:dyDescent="0.25">
      <c r="A10" t="s">
        <v>67</v>
      </c>
      <c r="B10" t="s">
        <v>24</v>
      </c>
      <c r="C10" t="s">
        <v>31</v>
      </c>
      <c r="D10" s="1">
        <v>44811</v>
      </c>
      <c r="E10">
        <v>150</v>
      </c>
      <c r="F10">
        <v>173</v>
      </c>
    </row>
    <row r="11" spans="1:6" x14ac:dyDescent="0.25">
      <c r="A11" t="s">
        <v>68</v>
      </c>
      <c r="B11" t="s">
        <v>12</v>
      </c>
      <c r="C11" t="s">
        <v>30</v>
      </c>
      <c r="D11" s="1">
        <v>44939</v>
      </c>
      <c r="E11" t="s">
        <v>69</v>
      </c>
      <c r="F11">
        <v>155</v>
      </c>
    </row>
    <row r="13" spans="1:6" x14ac:dyDescent="0.25">
      <c r="A13" s="2" t="s">
        <v>70</v>
      </c>
    </row>
  </sheetData>
  <conditionalFormatting sqref="F2:F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{CD054803-9018-4C9E-9601-8C4ED4A6FA78}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054803-9018-4C9E-9601-8C4ED4A6F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Findings</vt:lpstr>
      <vt:lpstr>Cleaning Log</vt:lpstr>
      <vt:lpstr>Yearly</vt:lpstr>
      <vt:lpstr>Monthly</vt:lpstr>
      <vt:lpstr>Stage</vt:lpstr>
      <vt:lpstr>Industry</vt:lpstr>
      <vt:lpstr>Shutdowns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Martin Villena</dc:creator>
  <cp:lastModifiedBy>John Martin Villena</cp:lastModifiedBy>
  <dcterms:created xsi:type="dcterms:W3CDTF">2026-10-24T10:06:04Z</dcterms:created>
  <dcterms:modified xsi:type="dcterms:W3CDTF">2026-10-25T10:52:59Z</dcterms:modified>
</cp:coreProperties>
</file>